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linaaleks\Downloads\GitHub\bill-checker\"/>
    </mc:Choice>
  </mc:AlternateContent>
  <xr:revisionPtr revIDLastSave="0" documentId="13_ncr:1_{EF9E9F2E-89E2-485A-AD24-351BCD46814A}" xr6:coauthVersionLast="47" xr6:coauthVersionMax="47" xr10:uidLastSave="{00000000-0000-0000-0000-000000000000}"/>
  <bookViews>
    <workbookView xWindow="22932" yWindow="-108" windowWidth="23256" windowHeight="12576" activeTab="4" xr2:uid="{00000000-000D-0000-FFFF-FFFF00000000}"/>
  </bookViews>
  <sheets>
    <sheet name="CHECK" sheetId="10" r:id="rId1"/>
    <sheet name="analytics" sheetId="16" r:id="rId2"/>
    <sheet name="info" sheetId="2" r:id="rId3"/>
    <sheet name="usage" sheetId="13" r:id="rId4"/>
    <sheet name="tariffs" sheetId="12" r:id="rId5"/>
    <sheet name="data" sheetId="14" r:id="rId6"/>
    <sheet name="helper" sheetId="11" r:id="rId7"/>
  </sheets>
  <definedNames>
    <definedName name="_xlchart.v1.0" hidden="1">data!$A$2:$A$2</definedName>
    <definedName name="_xlchart.v1.1" hidden="1">data!$E$1</definedName>
    <definedName name="_xlchart.v1.2" hidden="1">data!$E$2:$E$2</definedName>
    <definedName name="_xlchart.v1.3" hidden="1">data!$H$1</definedName>
    <definedName name="_xlchart.v1.4" hidden="1">data!$H$2:$H$2</definedName>
    <definedName name="_xlchart.v1.5" hidden="1">data!$T$1</definedName>
    <definedName name="_xlchart.v1.6" hidden="1">data!$T$2:$T$2</definedName>
  </definedNames>
  <calcPr calcId="181029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0" i="12" l="1"/>
  <c r="W10" i="12"/>
  <c r="X10" i="12"/>
  <c r="Y10" i="12"/>
  <c r="Z10" i="12"/>
  <c r="U10" i="12"/>
  <c r="P10" i="12"/>
  <c r="Q10" i="12"/>
  <c r="R10" i="12"/>
  <c r="S10" i="12"/>
  <c r="T10" i="12"/>
  <c r="O10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AJ17" i="12"/>
  <c r="AK17" i="12"/>
  <c r="AL17" i="12"/>
  <c r="D19" i="12"/>
  <c r="E19" i="12"/>
  <c r="F19" i="12"/>
  <c r="G19" i="12"/>
  <c r="H19" i="12"/>
  <c r="I19" i="12"/>
  <c r="J19" i="12"/>
  <c r="K19" i="12"/>
  <c r="L19" i="12"/>
  <c r="M19" i="12"/>
  <c r="N19" i="12"/>
  <c r="O19" i="12"/>
  <c r="P19" i="12"/>
  <c r="Q19" i="12"/>
  <c r="R19" i="12"/>
  <c r="S19" i="12"/>
  <c r="T19" i="12"/>
  <c r="U19" i="12"/>
  <c r="V19" i="12"/>
  <c r="W19" i="12"/>
  <c r="X19" i="12"/>
  <c r="Y19" i="12"/>
  <c r="Z19" i="12"/>
  <c r="AA19" i="12"/>
  <c r="AB19" i="12"/>
  <c r="AC19" i="12"/>
  <c r="AD19" i="12"/>
  <c r="AE19" i="12"/>
  <c r="AF19" i="12"/>
  <c r="AG19" i="12"/>
  <c r="AH19" i="12"/>
  <c r="AI19" i="12"/>
  <c r="AJ19" i="12"/>
  <c r="AK19" i="12"/>
  <c r="AL19" i="12"/>
  <c r="D20" i="12"/>
  <c r="E20" i="12"/>
  <c r="F20" i="12"/>
  <c r="G20" i="12"/>
  <c r="H20" i="12"/>
  <c r="I20" i="12"/>
  <c r="J20" i="12"/>
  <c r="K20" i="12"/>
  <c r="L20" i="12"/>
  <c r="M20" i="12"/>
  <c r="N20" i="12"/>
  <c r="O20" i="12"/>
  <c r="P20" i="12"/>
  <c r="Q20" i="12"/>
  <c r="R20" i="12"/>
  <c r="S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AJ20" i="12"/>
  <c r="AK20" i="12"/>
  <c r="AL20" i="12"/>
  <c r="D21" i="12"/>
  <c r="E21" i="12"/>
  <c r="F21" i="12"/>
  <c r="G21" i="12"/>
  <c r="H21" i="12"/>
  <c r="I21" i="12"/>
  <c r="J21" i="12"/>
  <c r="K21" i="12"/>
  <c r="L21" i="12"/>
  <c r="M21" i="12"/>
  <c r="N21" i="12"/>
  <c r="O21" i="12"/>
  <c r="P21" i="12"/>
  <c r="Q21" i="12"/>
  <c r="R21" i="12"/>
  <c r="S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AJ21" i="12"/>
  <c r="AK21" i="12"/>
  <c r="AL21" i="12"/>
  <c r="C21" i="12"/>
  <c r="C20" i="12"/>
  <c r="C19" i="12"/>
  <c r="C17" i="12"/>
  <c r="J10" i="12"/>
  <c r="K10" i="12"/>
  <c r="L10" i="12"/>
  <c r="M10" i="12"/>
  <c r="N10" i="12"/>
  <c r="I10" i="12"/>
  <c r="D10" i="12"/>
  <c r="E10" i="12"/>
  <c r="F10" i="12"/>
  <c r="G10" i="12"/>
  <c r="H10" i="12"/>
  <c r="C10" i="12"/>
  <c r="AH10" i="12"/>
  <c r="AI10" i="12"/>
  <c r="AJ10" i="12"/>
  <c r="AK10" i="12"/>
  <c r="AL10" i="12"/>
  <c r="AG10" i="12"/>
  <c r="AB10" i="12"/>
  <c r="AC10" i="12"/>
  <c r="AD10" i="12"/>
  <c r="AE10" i="12"/>
  <c r="AF10" i="12"/>
  <c r="AA10" i="12"/>
  <c r="AA38" i="12"/>
  <c r="AG38" i="12"/>
  <c r="G17" i="10"/>
  <c r="G16" i="10"/>
  <c r="H16" i="10" s="1"/>
  <c r="L12" i="10"/>
  <c r="L16" i="10"/>
  <c r="G12" i="10"/>
  <c r="H12" i="10" s="1"/>
  <c r="G11" i="10"/>
  <c r="H11" i="10" s="1"/>
  <c r="G10" i="10"/>
  <c r="H10" i="10" s="1"/>
  <c r="F16" i="10" l="1"/>
  <c r="F17" i="10"/>
  <c r="F18" i="10"/>
  <c r="F19" i="10"/>
  <c r="F20" i="10"/>
  <c r="F14" i="10"/>
  <c r="F12" i="10"/>
  <c r="F13" i="10" s="1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M23" i="10" l="1"/>
  <c r="M14" i="10"/>
  <c r="M19" i="10"/>
  <c r="I19" i="10" s="1"/>
  <c r="M18" i="10"/>
  <c r="M20" i="10"/>
  <c r="M17" i="10"/>
  <c r="B5" i="10"/>
  <c r="B4" i="10"/>
  <c r="G24" i="10"/>
  <c r="G15" i="10"/>
  <c r="G14" i="10"/>
  <c r="G19" i="10"/>
  <c r="G18" i="10"/>
  <c r="G20" i="10"/>
  <c r="G21" i="10"/>
  <c r="G22" i="10"/>
  <c r="G13" i="10"/>
  <c r="J11" i="10"/>
  <c r="J10" i="10"/>
  <c r="B1" i="10"/>
  <c r="C25" i="12"/>
  <c r="C27" i="12" s="1"/>
  <c r="F24" i="10"/>
  <c r="I24" i="10" s="1"/>
  <c r="F23" i="10"/>
  <c r="I23" i="10" s="1"/>
  <c r="F15" i="10"/>
  <c r="I15" i="10" s="1"/>
  <c r="F21" i="10"/>
  <c r="I21" i="10" s="1"/>
  <c r="F22" i="10"/>
  <c r="I22" i="10" s="1"/>
  <c r="E26" i="10"/>
  <c r="C38" i="12"/>
  <c r="I38" i="12"/>
  <c r="O38" i="12"/>
  <c r="U38" i="12"/>
  <c r="N9" i="10"/>
  <c r="J14" i="10" l="1"/>
  <c r="H14" i="10"/>
  <c r="J13" i="10"/>
  <c r="H13" i="10"/>
  <c r="J15" i="10"/>
  <c r="H15" i="10"/>
  <c r="K15" i="10" s="1"/>
  <c r="L15" i="10" s="1"/>
  <c r="J22" i="10"/>
  <c r="H22" i="10"/>
  <c r="K22" i="10" s="1"/>
  <c r="L22" i="10" s="1"/>
  <c r="J18" i="10"/>
  <c r="H18" i="10"/>
  <c r="J24" i="10"/>
  <c r="H24" i="10"/>
  <c r="K24" i="10" s="1"/>
  <c r="L24" i="10" s="1"/>
  <c r="J17" i="10"/>
  <c r="H17" i="10"/>
  <c r="K17" i="10" s="1"/>
  <c r="L17" i="10" s="1"/>
  <c r="J20" i="10"/>
  <c r="H20" i="10"/>
  <c r="J21" i="10"/>
  <c r="H21" i="10"/>
  <c r="K21" i="10" s="1"/>
  <c r="L21" i="10" s="1"/>
  <c r="J19" i="10"/>
  <c r="H19" i="10"/>
  <c r="K19" i="10" s="1"/>
  <c r="L19" i="10" s="1"/>
  <c r="C28" i="12"/>
  <c r="F9" i="10"/>
  <c r="I9" i="10" s="1"/>
  <c r="F10" i="10"/>
  <c r="F11" i="10" s="1"/>
  <c r="I11" i="10" s="1"/>
  <c r="I20" i="10"/>
  <c r="E32" i="10"/>
  <c r="K14" i="10"/>
  <c r="L14" i="10" s="1"/>
  <c r="I14" i="10"/>
  <c r="I18" i="10"/>
  <c r="C26" i="12"/>
  <c r="E31" i="10"/>
  <c r="E30" i="10"/>
  <c r="E28" i="10"/>
  <c r="E29" i="10"/>
  <c r="G23" i="10"/>
  <c r="H23" i="10" s="1"/>
  <c r="C29" i="12" l="1"/>
  <c r="K20" i="10"/>
  <c r="L20" i="10" s="1"/>
  <c r="I17" i="10"/>
  <c r="K11" i="10"/>
  <c r="L11" i="10" s="1"/>
  <c r="K32" i="10"/>
  <c r="I13" i="10"/>
  <c r="I10" i="10"/>
  <c r="K10" i="10"/>
  <c r="L10" i="10" s="1"/>
  <c r="K23" i="10"/>
  <c r="L23" i="10" s="1"/>
  <c r="J23" i="10"/>
  <c r="K18" i="10"/>
  <c r="L18" i="10" s="1"/>
  <c r="C31" i="12"/>
  <c r="C30" i="12"/>
  <c r="G16" i="12"/>
  <c r="K16" i="12"/>
  <c r="L16" i="12"/>
  <c r="M16" i="12"/>
  <c r="N16" i="12"/>
  <c r="C16" i="12"/>
  <c r="AL16" i="12" l="1"/>
  <c r="Z16" i="12"/>
  <c r="AE16" i="12"/>
  <c r="S16" i="12"/>
  <c r="AA16" i="12"/>
  <c r="O16" i="12"/>
  <c r="AI16" i="12"/>
  <c r="W16" i="12"/>
  <c r="AK16" i="12"/>
  <c r="Y16" i="12"/>
  <c r="X16" i="12"/>
  <c r="AJ16" i="12"/>
  <c r="K30" i="10"/>
  <c r="K13" i="10"/>
  <c r="K31" i="10"/>
  <c r="E16" i="12"/>
  <c r="F16" i="12"/>
  <c r="D16" i="12"/>
  <c r="I16" i="12"/>
  <c r="J16" i="12"/>
  <c r="H16" i="12"/>
  <c r="K29" i="10" l="1"/>
  <c r="L13" i="10"/>
  <c r="AH16" i="12"/>
  <c r="V16" i="12"/>
  <c r="AC16" i="12"/>
  <c r="Q16" i="12"/>
  <c r="AG16" i="12"/>
  <c r="U16" i="12"/>
  <c r="P16" i="12"/>
  <c r="AB16" i="12"/>
  <c r="M9" i="10" s="1"/>
  <c r="G9" i="10" s="1"/>
  <c r="J9" i="10" s="1"/>
  <c r="AF16" i="12"/>
  <c r="T16" i="12"/>
  <c r="AD16" i="12"/>
  <c r="R16" i="12"/>
  <c r="H9" i="10" l="1"/>
  <c r="K9" i="10" s="1"/>
  <c r="L9" i="10" s="1"/>
  <c r="K26" i="10"/>
  <c r="K28" i="10" l="1"/>
</calcChain>
</file>

<file path=xl/sharedStrings.xml><?xml version="1.0" encoding="utf-8"?>
<sst xmlns="http://schemas.openxmlformats.org/spreadsheetml/2006/main" count="342" uniqueCount="162">
  <si>
    <t>РЕГИОН</t>
  </si>
  <si>
    <t>ОБЪЕКТ</t>
  </si>
  <si>
    <t>Тип жилья</t>
  </si>
  <si>
    <t>МКД</t>
  </si>
  <si>
    <t>Количество проживающих, чел</t>
  </si>
  <si>
    <t>Общая площадь, м2</t>
  </si>
  <si>
    <t>Площадь здания, м2</t>
  </si>
  <si>
    <t>Электроплита</t>
  </si>
  <si>
    <t>да</t>
  </si>
  <si>
    <t>Электрические водонагревательные установки</t>
  </si>
  <si>
    <t>ПЕРЕЧЕНЬ УСЛУГ</t>
  </si>
  <si>
    <t>Поставщик</t>
  </si>
  <si>
    <t>Метод расчета</t>
  </si>
  <si>
    <t>Сезонность</t>
  </si>
  <si>
    <t>ЛОГИКА ПРОВЕРКИ РАСЧЕТОВ</t>
  </si>
  <si>
    <t>Электроэнергия</t>
  </si>
  <si>
    <t>по счетчику</t>
  </si>
  <si>
    <t>если общее показание меньше соц.нормы =&gt; (факт.объем) * (тариф в пределах СН); если больше =&gt; к этому + (объем превышения) * (тариф свыше СН)</t>
  </si>
  <si>
    <t>ХВС</t>
  </si>
  <si>
    <t>(факт.объем) * (тариф)</t>
  </si>
  <si>
    <t>Водоотведение</t>
  </si>
  <si>
    <t>Содержание общего имущества</t>
  </si>
  <si>
    <t>по нормативу на площадь</t>
  </si>
  <si>
    <t>(площадь) * (тариф)</t>
  </si>
  <si>
    <t>Тех.обслуживание</t>
  </si>
  <si>
    <t>по нормативу УК</t>
  </si>
  <si>
    <t>(объем) * (тариф)</t>
  </si>
  <si>
    <t>Нагрев ГВ</t>
  </si>
  <si>
    <t>(объем по СН) * (тариф)</t>
  </si>
  <si>
    <t>Отопление</t>
  </si>
  <si>
    <t>по общедомовому ПУ</t>
  </si>
  <si>
    <t>Вывоз ТКО</t>
  </si>
  <si>
    <t>по нормативу на чел</t>
  </si>
  <si>
    <t>если сумма на чел. меньше предельного тарифа =&gt; (кол-во прожив-х) * (тариф); если больше =&gt; (кол-во прожив-х) * (предельный тариф)</t>
  </si>
  <si>
    <t>Капремонт</t>
  </si>
  <si>
    <t>период-1</t>
  </si>
  <si>
    <t>КВИТАНЦИЯ</t>
  </si>
  <si>
    <t>РАСЧЕТ</t>
  </si>
  <si>
    <t>УСЛУГА</t>
  </si>
  <si>
    <t>Ед.изм.</t>
  </si>
  <si>
    <t>Объем</t>
  </si>
  <si>
    <t>Тариф</t>
  </si>
  <si>
    <t>Начислено</t>
  </si>
  <si>
    <t>Норматив</t>
  </si>
  <si>
    <t>Период</t>
  </si>
  <si>
    <t>кВт</t>
  </si>
  <si>
    <t>м3</t>
  </si>
  <si>
    <t>м2</t>
  </si>
  <si>
    <t>Гкал</t>
  </si>
  <si>
    <t>чел</t>
  </si>
  <si>
    <t>ВСЕГО</t>
  </si>
  <si>
    <t>в т.ч. по поставщикам услуг:</t>
  </si>
  <si>
    <t>Месяц / Показание</t>
  </si>
  <si>
    <t>месяц</t>
  </si>
  <si>
    <t>План (начисления)</t>
  </si>
  <si>
    <t>Факт (начисления)</t>
  </si>
  <si>
    <t>Отклонение (%)</t>
  </si>
  <si>
    <t>Grand Total</t>
  </si>
  <si>
    <t>год</t>
  </si>
  <si>
    <t>услуга</t>
  </si>
  <si>
    <t>ед_изм</t>
  </si>
  <si>
    <t>объем_квит</t>
  </si>
  <si>
    <t>тариф_квит</t>
  </si>
  <si>
    <t>начислено_квит</t>
  </si>
  <si>
    <t>объем_откл</t>
  </si>
  <si>
    <t>тариф_откл</t>
  </si>
  <si>
    <t>начислено_откл</t>
  </si>
  <si>
    <t>объем_расчет</t>
  </si>
  <si>
    <t>тариф_расчет</t>
  </si>
  <si>
    <t>насчислено_расчет</t>
  </si>
  <si>
    <t>норматив</t>
  </si>
  <si>
    <t>период</t>
  </si>
  <si>
    <t>поставщик</t>
  </si>
  <si>
    <t>начислено_откл%</t>
  </si>
  <si>
    <t>месяц_№</t>
  </si>
  <si>
    <t>ПЕРЕЧЕНЬ УСЛУГ, руб</t>
  </si>
  <si>
    <t>за</t>
  </si>
  <si>
    <t>Кто устанавливает</t>
  </si>
  <si>
    <t>Электроэнергия (в пределах СН)</t>
  </si>
  <si>
    <t>Тариф, коэф.сезонности - постановление Региональной службы по тарифам РО. Соц.норма - постановление Правительства.</t>
  </si>
  <si>
    <t>Электроэнергия (свыше СН)</t>
  </si>
  <si>
    <t>постановление Региональной службы по тарифам РО</t>
  </si>
  <si>
    <t>УК</t>
  </si>
  <si>
    <t>Предельный тариф на услуги регионального оператора - постановление Региональной службы по тарифам РО. К единому тарифу применен понижающий коэфф. - постановление Правительства РО. Норматив накопления утвержден постановлением Мин-ва ЖКХ РО</t>
  </si>
  <si>
    <t>Нормативы</t>
  </si>
  <si>
    <t>соц.норма</t>
  </si>
  <si>
    <t>Электроэнергия - Расчет соц.нормы на объект</t>
  </si>
  <si>
    <t>1чел</t>
  </si>
  <si>
    <t>2-й</t>
  </si>
  <si>
    <t>3 и далее</t>
  </si>
  <si>
    <t>не менее</t>
  </si>
  <si>
    <t>Количество проживающих</t>
  </si>
  <si>
    <t>СН на количество проживающих</t>
  </si>
  <si>
    <t>1чел - 96кВт/ч, 2-й чел - 60 кВт/ч, 3 и далее - по 40 кВт/ч</t>
  </si>
  <si>
    <t>43 кВтч на человека, но не менее 90 кВтч на одно домохозяйство</t>
  </si>
  <si>
    <t>ЭВУ</t>
  </si>
  <si>
    <t>300 кВтч на человека</t>
  </si>
  <si>
    <t>Соц.норма на объект</t>
  </si>
  <si>
    <t>Соц.норма с понижающим коэф - фев, мар, апр (0,9)</t>
  </si>
  <si>
    <t>Соц.норма с повышающим коэф - июн, июл, авг (1,1)</t>
  </si>
  <si>
    <t>Вывоз ТКО - Расчет ежемесячной суммы на чел.</t>
  </si>
  <si>
    <t>1 п/г 2024</t>
  </si>
  <si>
    <t>2 п/г 2024</t>
  </si>
  <si>
    <t>1 п/г 2025</t>
  </si>
  <si>
    <t>2 п/г 2025</t>
  </si>
  <si>
    <t>Тариф на вывоз ТКО</t>
  </si>
  <si>
    <t>руб/м3</t>
  </si>
  <si>
    <t>Понижающий коэффициент МКД</t>
  </si>
  <si>
    <t>Норматив накопления ТКО</t>
  </si>
  <si>
    <t>м3/год на чел</t>
  </si>
  <si>
    <t>Расчетная сумма</t>
  </si>
  <si>
    <t>руб на чел/мес</t>
  </si>
  <si>
    <t>тип_квитанции</t>
  </si>
  <si>
    <t>метод_расчета</t>
  </si>
  <si>
    <t>поставщики</t>
  </si>
  <si>
    <t>Водоснабжение</t>
  </si>
  <si>
    <t>ЖКУ_УК</t>
  </si>
  <si>
    <t>Отклонение (руб)</t>
  </si>
  <si>
    <t>Row Labels</t>
  </si>
  <si>
    <t>Column Labels</t>
  </si>
  <si>
    <t>Детально по квитанциям</t>
  </si>
  <si>
    <t>положит_откл</t>
  </si>
  <si>
    <t>отриц_откл</t>
  </si>
  <si>
    <t>Факт начислений</t>
  </si>
  <si>
    <t>Месяц</t>
  </si>
  <si>
    <t>Услуга</t>
  </si>
  <si>
    <t>(blank)</t>
  </si>
  <si>
    <t>ГВС</t>
  </si>
  <si>
    <t>Электроэнергия / общедом</t>
  </si>
  <si>
    <t>ГВС / общедом</t>
  </si>
  <si>
    <t>ХВС / общедом</t>
  </si>
  <si>
    <t>Водоотведение / общедом</t>
  </si>
  <si>
    <t>Вывоз мусора</t>
  </si>
  <si>
    <t>ХВС - Водоотведение</t>
  </si>
  <si>
    <t>ГВС - Водоотведение</t>
  </si>
  <si>
    <t>Тех.обслуживание дома</t>
  </si>
  <si>
    <t>Вода для ГВС</t>
  </si>
  <si>
    <t>Нагрев ГВ / общедом</t>
  </si>
  <si>
    <t>Δ ОБЪЕМ</t>
  </si>
  <si>
    <t>Δ ТАРИФ</t>
  </si>
  <si>
    <t>Δ НАЧИСЛЕНО</t>
  </si>
  <si>
    <t>Статус</t>
  </si>
  <si>
    <t>Управляющая</t>
  </si>
  <si>
    <t>ТКО</t>
  </si>
  <si>
    <t>Квартира, м2</t>
  </si>
  <si>
    <t>Проживающие, чел</t>
  </si>
  <si>
    <t>ОТКЛОНЕНИЕ</t>
  </si>
  <si>
    <t>Ростовская область</t>
  </si>
  <si>
    <t>Поставщик света</t>
  </si>
  <si>
    <t>Поставщик воды</t>
  </si>
  <si>
    <t>1 п/г 2026</t>
  </si>
  <si>
    <t>2 п/г 2026</t>
  </si>
  <si>
    <t>https://www.donland.ru/activity/353/</t>
  </si>
  <si>
    <t>https://vodokanalrnd.ru/abonentu/tarify/</t>
  </si>
  <si>
    <t>https://www.donland.ru/activity/349/</t>
  </si>
  <si>
    <t>https://www.donland.ru/news/32277/</t>
  </si>
  <si>
    <t>Правительство Ростовской области</t>
  </si>
  <si>
    <t>ГВ снабжение / общедом</t>
  </si>
  <si>
    <t>Электроснабжение / общедом</t>
  </si>
  <si>
    <t>ХВ снабжение  / общедом</t>
  </si>
  <si>
    <t>Водоотведение  / общедом</t>
  </si>
  <si>
    <t>УК (соц.норма) - если не по счетчику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</si>
</sst>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409]mmm\-yy;@"/>
    <numFmt numFmtId="165" formatCode="0.0"/>
    <numFmt numFmtId="166" formatCode="#,##0.0"/>
    <numFmt numFmtId="167" formatCode="yyyy\-mm"/>
    <numFmt numFmtId="169" formatCode="#,##0.000"/>
    <numFmt numFmtId="170" formatCode="#,##0.0000"/>
    <numFmt numFmtId="172" formatCode="0.00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D8A8"/>
        <bgColor indexed="64"/>
      </patternFill>
    </fill>
    <fill>
      <patternFill patternType="solid">
        <fgColor rgb="FFF4FCE3"/>
        <bgColor indexed="64"/>
      </patternFill>
    </fill>
    <fill>
      <patternFill patternType="solid">
        <fgColor rgb="FFFFF4E6"/>
        <bgColor indexed="64"/>
      </patternFill>
    </fill>
    <fill>
      <patternFill patternType="solid">
        <fgColor rgb="FFDEE2E6"/>
        <bgColor indexed="64"/>
      </patternFill>
    </fill>
    <fill>
      <patternFill patternType="solid">
        <fgColor rgb="FFF1F3F5"/>
        <bgColor indexed="64"/>
      </patternFill>
    </fill>
    <fill>
      <patternFill patternType="solid">
        <fgColor rgb="FFE2F5DB"/>
        <bgColor indexed="64"/>
      </patternFill>
    </fill>
    <fill>
      <patternFill patternType="solid">
        <fgColor rgb="FFBCE8AA"/>
        <bgColor indexed="64"/>
      </patternFill>
    </fill>
  </fills>
  <borders count="16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 style="medium">
        <color rgb="FF000000"/>
      </left>
      <right/>
      <top style="medium">
        <color rgb="FF000000"/>
      </top>
      <bottom style="medium">
        <color theme="0"/>
      </bottom>
      <diagonal/>
    </border>
    <border>
      <left/>
      <right/>
      <top style="medium">
        <color rgb="FF000000"/>
      </top>
      <bottom style="medium">
        <color theme="0"/>
      </bottom>
      <diagonal/>
    </border>
    <border>
      <left/>
      <right style="medium">
        <color rgb="FF000000"/>
      </right>
      <top style="medium">
        <color rgb="FF000000"/>
      </top>
      <bottom style="medium">
        <color theme="0"/>
      </bottom>
      <diagonal/>
    </border>
    <border>
      <left style="medium">
        <color rgb="FF00000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rgb="FF000000"/>
      </right>
      <top style="medium">
        <color theme="0"/>
      </top>
      <bottom style="medium">
        <color theme="0"/>
      </bottom>
      <diagonal/>
    </border>
    <border>
      <left style="medium">
        <color rgb="FF00000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rgb="FF000000"/>
      </right>
      <top style="medium">
        <color theme="0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12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3" fillId="7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164" fontId="0" fillId="0" borderId="0" xfId="0" applyNumberForma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2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2" fontId="1" fillId="6" borderId="1" xfId="0" applyNumberFormat="1" applyFont="1" applyFill="1" applyBorder="1" applyAlignment="1">
      <alignment horizontal="right" vertical="center"/>
    </xf>
    <xf numFmtId="4" fontId="0" fillId="7" borderId="5" xfId="0" applyNumberFormat="1" applyFill="1" applyBorder="1" applyAlignment="1">
      <alignment horizontal="center" vertical="center"/>
    </xf>
    <xf numFmtId="4" fontId="0" fillId="7" borderId="1" xfId="0" applyNumberFormat="1" applyFill="1" applyBorder="1" applyAlignment="1">
      <alignment horizontal="center" vertical="center"/>
    </xf>
    <xf numFmtId="4" fontId="0" fillId="6" borderId="1" xfId="0" applyNumberFormat="1" applyFill="1" applyBorder="1" applyAlignment="1">
      <alignment horizontal="right" vertical="center"/>
    </xf>
    <xf numFmtId="4" fontId="0" fillId="0" borderId="1" xfId="0" applyNumberFormat="1" applyBorder="1" applyAlignment="1">
      <alignment horizontal="center" vertical="center"/>
    </xf>
    <xf numFmtId="4" fontId="0" fillId="0" borderId="0" xfId="0" applyNumberFormat="1" applyAlignment="1">
      <alignment vertical="center"/>
    </xf>
    <xf numFmtId="4" fontId="1" fillId="6" borderId="1" xfId="0" applyNumberFormat="1" applyFont="1" applyFill="1" applyBorder="1" applyAlignment="1">
      <alignment horizontal="right" vertical="center"/>
    </xf>
    <xf numFmtId="3" fontId="0" fillId="3" borderId="1" xfId="0" applyNumberFormat="1" applyFill="1" applyBorder="1" applyAlignment="1">
      <alignment horizontal="right" vertical="center"/>
    </xf>
    <xf numFmtId="4" fontId="0" fillId="0" borderId="0" xfId="0" applyNumberFormat="1" applyAlignment="1">
      <alignment horizontal="left" vertical="center"/>
    </xf>
    <xf numFmtId="4" fontId="0" fillId="0" borderId="0" xfId="0" applyNumberFormat="1" applyAlignment="1">
      <alignment horizontal="left" vertical="center" wrapText="1"/>
    </xf>
    <xf numFmtId="166" fontId="0" fillId="3" borderId="1" xfId="0" applyNumberForma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/>
    </xf>
    <xf numFmtId="0" fontId="0" fillId="2" borderId="0" xfId="0" applyFill="1" applyAlignment="1">
      <alignment horizontal="left" vertical="center" wrapText="1"/>
    </xf>
    <xf numFmtId="2" fontId="0" fillId="2" borderId="0" xfId="0" applyNumberFormat="1" applyFill="1" applyAlignment="1">
      <alignment horizontal="right" vertical="center"/>
    </xf>
    <xf numFmtId="4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center"/>
    </xf>
    <xf numFmtId="0" fontId="0" fillId="0" borderId="0" xfId="0" pivotButton="1"/>
    <xf numFmtId="0" fontId="1" fillId="6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4" fontId="0" fillId="0" borderId="0" xfId="0" applyNumberFormat="1"/>
    <xf numFmtId="10" fontId="0" fillId="0" borderId="0" xfId="0" applyNumberFormat="1"/>
    <xf numFmtId="2" fontId="0" fillId="0" borderId="0" xfId="0" applyNumberFormat="1"/>
    <xf numFmtId="4" fontId="0" fillId="0" borderId="0" xfId="0" applyNumberFormat="1" applyAlignment="1">
      <alignment vertical="center" wrapText="1"/>
    </xf>
    <xf numFmtId="2" fontId="0" fillId="0" borderId="0" xfId="0" applyNumberFormat="1" applyAlignment="1">
      <alignment vertical="center" wrapText="1"/>
    </xf>
    <xf numFmtId="4" fontId="0" fillId="0" borderId="0" xfId="0" pivotButton="1" applyNumberFormat="1" applyAlignment="1">
      <alignment vertical="center" wrapText="1"/>
    </xf>
    <xf numFmtId="0" fontId="0" fillId="0" borderId="0" xfId="0" pivotButton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0" fontId="1" fillId="0" borderId="0" xfId="0" applyNumberFormat="1" applyFont="1" applyAlignment="1">
      <alignment horizontal="left" vertical="center"/>
    </xf>
    <xf numFmtId="10" fontId="0" fillId="0" borderId="0" xfId="0" applyNumberFormat="1" applyAlignment="1">
      <alignment horizontal="left" vertical="center"/>
    </xf>
    <xf numFmtId="10" fontId="0" fillId="0" borderId="0" xfId="0" applyNumberFormat="1" applyAlignment="1">
      <alignment horizontal="left"/>
    </xf>
    <xf numFmtId="1" fontId="0" fillId="0" borderId="0" xfId="0" applyNumberFormat="1" applyAlignment="1">
      <alignment vertical="center"/>
    </xf>
    <xf numFmtId="167" fontId="0" fillId="0" borderId="0" xfId="0" applyNumberFormat="1" applyAlignment="1">
      <alignment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4" fontId="0" fillId="8" borderId="4" xfId="0" applyNumberFormat="1" applyFill="1" applyBorder="1" applyAlignment="1">
      <alignment horizontal="right" vertical="center"/>
    </xf>
    <xf numFmtId="0" fontId="1" fillId="9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right" vertical="center"/>
    </xf>
    <xf numFmtId="167" fontId="0" fillId="4" borderId="0" xfId="0" applyNumberFormat="1" applyFill="1" applyAlignment="1">
      <alignment vertical="center"/>
    </xf>
    <xf numFmtId="165" fontId="0" fillId="0" borderId="0" xfId="0" applyNumberFormat="1" applyAlignment="1">
      <alignment horizontal="righ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9" borderId="8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10" fontId="0" fillId="0" borderId="0" xfId="0" applyNumberFormat="1" applyAlignment="1">
      <alignment horizontal="center" wrapText="1"/>
    </xf>
    <xf numFmtId="0" fontId="4" fillId="0" borderId="0" xfId="0" applyFont="1" applyAlignment="1">
      <alignment horizontal="center"/>
    </xf>
    <xf numFmtId="0" fontId="0" fillId="5" borderId="11" xfId="0" applyNumberFormat="1" applyFill="1" applyBorder="1" applyAlignment="1">
      <alignment horizontal="center" vertical="center"/>
    </xf>
    <xf numFmtId="0" fontId="0" fillId="5" borderId="11" xfId="0" applyNumberFormat="1" applyFill="1" applyBorder="1" applyAlignment="1">
      <alignment horizontal="center" vertical="center" wrapText="1"/>
    </xf>
    <xf numFmtId="169" fontId="0" fillId="8" borderId="4" xfId="0" applyNumberFormat="1" applyFill="1" applyBorder="1" applyAlignment="1">
      <alignment horizontal="right" vertical="center"/>
    </xf>
    <xf numFmtId="166" fontId="0" fillId="8" borderId="4" xfId="0" applyNumberFormat="1" applyFill="1" applyBorder="1" applyAlignment="1">
      <alignment horizontal="right" vertical="center"/>
    </xf>
    <xf numFmtId="3" fontId="0" fillId="8" borderId="4" xfId="0" applyNumberFormat="1" applyFill="1" applyBorder="1" applyAlignment="1">
      <alignment horizontal="right" vertical="center"/>
    </xf>
    <xf numFmtId="170" fontId="0" fillId="8" borderId="4" xfId="0" applyNumberFormat="1" applyFill="1" applyBorder="1" applyAlignment="1">
      <alignment horizontal="right" vertical="center"/>
    </xf>
    <xf numFmtId="169" fontId="0" fillId="6" borderId="1" xfId="0" applyNumberFormat="1" applyFill="1" applyBorder="1" applyAlignment="1">
      <alignment horizontal="right" vertical="center"/>
    </xf>
    <xf numFmtId="3" fontId="0" fillId="6" borderId="1" xfId="0" applyNumberFormat="1" applyFill="1" applyBorder="1" applyAlignment="1">
      <alignment horizontal="right" vertical="center"/>
    </xf>
    <xf numFmtId="167" fontId="1" fillId="6" borderId="0" xfId="0" applyNumberFormat="1" applyFont="1" applyFill="1" applyAlignment="1">
      <alignment horizontal="center" vertical="center"/>
    </xf>
    <xf numFmtId="1" fontId="0" fillId="5" borderId="11" xfId="0" applyNumberForma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 wrapText="1"/>
    </xf>
    <xf numFmtId="2" fontId="0" fillId="5" borderId="1" xfId="0" applyNumberFormat="1" applyFill="1" applyBorder="1" applyAlignment="1">
      <alignment horizontal="center" vertical="center"/>
    </xf>
    <xf numFmtId="2" fontId="0" fillId="5" borderId="14" xfId="0" applyNumberFormat="1" applyFill="1" applyBorder="1" applyAlignment="1">
      <alignment horizontal="center" vertical="center" wrapText="1"/>
    </xf>
    <xf numFmtId="166" fontId="0" fillId="5" borderId="13" xfId="0" applyNumberFormat="1" applyFill="1" applyBorder="1" applyAlignment="1">
      <alignment horizontal="center" vertical="center"/>
    </xf>
    <xf numFmtId="0" fontId="6" fillId="0" borderId="0" xfId="1" applyAlignment="1">
      <alignment vertical="center"/>
    </xf>
    <xf numFmtId="2" fontId="1" fillId="9" borderId="4" xfId="0" applyNumberFormat="1" applyFont="1" applyFill="1" applyBorder="1" applyAlignment="1">
      <alignment horizontal="center" vertical="center" wrapText="1"/>
    </xf>
    <xf numFmtId="2" fontId="0" fillId="3" borderId="12" xfId="0" applyNumberFormat="1" applyFill="1" applyBorder="1" applyAlignment="1">
      <alignment horizontal="right" vertical="center"/>
    </xf>
    <xf numFmtId="2" fontId="0" fillId="3" borderId="15" xfId="0" applyNumberFormat="1" applyFill="1" applyBorder="1" applyAlignment="1">
      <alignment horizontal="right" vertical="center"/>
    </xf>
    <xf numFmtId="172" fontId="0" fillId="0" borderId="0" xfId="0" applyNumberFormat="1" applyAlignment="1">
      <alignment vertical="center"/>
    </xf>
  </cellXfs>
  <cellStyles count="2">
    <cellStyle name="Hyperlink" xfId="1" builtinId="8"/>
    <cellStyle name="Normal" xfId="0" builtinId="0"/>
  </cellStyles>
  <dxfs count="57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4" formatCode="#,##0.00"/>
      <alignment horizontal="left" vertical="center" textRotation="0" wrapText="0" indent="0" justifyLastLine="0" shrinkToFit="0" readingOrder="0"/>
    </dxf>
    <dxf>
      <numFmt numFmtId="4" formatCode="#,##0.00"/>
      <alignment horizontal="left" vertical="center" textRotation="0" wrapText="0" indent="0" justifyLastLine="0" shrinkToFit="0" readingOrder="0"/>
    </dxf>
    <dxf>
      <numFmt numFmtId="14" formatCode="0.00%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9" formatCode="dd/mm/yyyy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numFmt numFmtId="4" formatCode="#,##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2" formatCode="0.00"/>
      <alignment horizontal="left"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0" formatCode="General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numFmt numFmtId="0" formatCode="General"/>
    </dxf>
    <dxf>
      <numFmt numFmtId="2" formatCode="0.00"/>
    </dxf>
    <dxf>
      <numFmt numFmtId="2" formatCode="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numFmt numFmtId="14" formatCode="0.00%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2" defaultPivotStyle="PivotStyleMedium9"/>
  <colors>
    <mruColors>
      <color rgb="FFDEE2E6"/>
      <color rgb="FFBCE8AA"/>
      <color rgb="FFF4FCE3"/>
      <color rgb="FFE2F5DB"/>
      <color rgb="FFFFD8A8"/>
      <color rgb="FFFFC078"/>
      <color rgb="FFFFF4E6"/>
      <color rgb="FFE7F5FF"/>
      <color rgb="FFA5D8FF"/>
      <color rgb="FFF1F3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[bill-checker-demo.xlsx]analytics!отклонения по услугам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analytics!$V$2:$V$4</c:f>
              <c:strCache>
                <c:ptCount val="1"/>
                <c:pt idx="0">
                  <c:v>(blank) - План (начисления)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analytics!$U$5:$U$6</c:f>
              <c:strCache>
                <c:ptCount val="1"/>
                <c:pt idx="0">
                  <c:v>(blank)</c:v>
                </c:pt>
              </c:strCache>
            </c:strRef>
          </c:cat>
          <c:val>
            <c:numRef>
              <c:f>analytics!$V$5:$V$6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0DA4-4AD2-8537-04C149DA1DB6}"/>
            </c:ext>
          </c:extLst>
        </c:ser>
        <c:ser>
          <c:idx val="1"/>
          <c:order val="1"/>
          <c:tx>
            <c:strRef>
              <c:f>analytics!$W$2:$W$4</c:f>
              <c:strCache>
                <c:ptCount val="1"/>
                <c:pt idx="0">
                  <c:v>(blank) - Факт (начисления)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analytics!$U$5:$U$6</c:f>
              <c:strCache>
                <c:ptCount val="1"/>
                <c:pt idx="0">
                  <c:v>(blank)</c:v>
                </c:pt>
              </c:strCache>
            </c:strRef>
          </c:cat>
          <c:val>
            <c:numRef>
              <c:f>analytics!$W$5:$W$6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1-0DA4-4AD2-8537-04C149DA1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7617536"/>
        <c:axId val="717621136"/>
      </c:barChart>
      <c:catAx>
        <c:axId val="717617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7621136"/>
        <c:crosses val="autoZero"/>
        <c:auto val="1"/>
        <c:lblAlgn val="ctr"/>
        <c:lblOffset val="100"/>
        <c:noMultiLvlLbl val="0"/>
      </c:catAx>
      <c:valAx>
        <c:axId val="71762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7617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[bill-checker-demo.xlsx]analytics!PivotTable36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Распределение  расходов в течение года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analytics!$AB$4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analytics!$AA$5:$AA$6</c:f>
              <c:strCache>
                <c:ptCount val="1"/>
                <c:pt idx="0">
                  <c:v>(blank)</c:v>
                </c:pt>
              </c:strCache>
            </c:strRef>
          </c:cat>
          <c:val>
            <c:numRef>
              <c:f>analytics!$AB$5:$AB$6</c:f>
              <c:numCache>
                <c:formatCode>#,##0.00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D793-4898-93A7-19AF20797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7615016"/>
        <c:axId val="717615376"/>
      </c:areaChart>
      <c:catAx>
        <c:axId val="717615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7615376"/>
        <c:crosses val="autoZero"/>
        <c:auto val="1"/>
        <c:lblAlgn val="ctr"/>
        <c:lblOffset val="100"/>
        <c:noMultiLvlLbl val="0"/>
      </c:catAx>
      <c:valAx>
        <c:axId val="71761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7615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  <cx:data id="2">
      <cx:strDim type="cat">
        <cx:f>_xlchart.v1.0</cx:f>
      </cx:strDim>
      <cx:numDim type="val">
        <cx:f>_xlchart.v1.6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ru-RU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Доля расходов по услугам 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rich>
      </cx:tx>
    </cx:title>
    <cx:plotArea>
      <cx:plotAreaRegion>
        <cx:series layoutId="clusteredColumn" uniqueId="{E7A51AA8-FE5A-4C8F-B71C-0D2CBE5D0D50}" formatIdx="0">
          <cx:tx>
            <cx:txData>
              <cx:f>_xlchart.v1.1</cx:f>
              <cx:v>начислено_квит</cx:v>
            </cx:txData>
          </cx:tx>
          <cx:dataId val="0"/>
          <cx:layoutPr>
            <cx:aggregation/>
          </cx:layoutPr>
          <cx:axisId val="1"/>
        </cx:series>
        <cx:series layoutId="paretoLine" ownerIdx="0" uniqueId="{C3D08A56-015D-4D23-BEF3-89CEB4B661B9}" formatIdx="1">
          <cx:axisId val="2"/>
        </cx:series>
        <cx:series layoutId="clusteredColumn" hidden="1" uniqueId="{FC5ADFA6-F4C9-42B9-AD5C-42B56DC3EEE5}" formatIdx="2">
          <cx:tx>
            <cx:txData>
              <cx:f>_xlchart.v1.3</cx:f>
              <cx:v>начислено_откл</cx:v>
            </cx:txData>
          </cx:tx>
          <cx:dataId val="1"/>
          <cx:layoutPr>
            <cx:aggregation/>
          </cx:layoutPr>
          <cx:axisId val="1"/>
        </cx:series>
        <cx:series layoutId="paretoLine" ownerIdx="2" uniqueId="{3C0C5267-3489-4F44-AC59-165144F4EA0E}" formatIdx="3">
          <cx:axisId val="2"/>
        </cx:series>
        <cx:series layoutId="clusteredColumn" hidden="1" uniqueId="{952F0097-970B-451C-82C5-917CA4E7DCA4}" formatIdx="4">
          <cx:tx>
            <cx:txData>
              <cx:f>_xlchart.v1.5</cx:f>
              <cx:v>месяц</cx:v>
            </cx:txData>
          </cx:tx>
          <cx:dataId val="2"/>
          <cx:layoutPr>
            <cx:aggregation/>
          </cx:layoutPr>
          <cx:axisId val="1"/>
        </cx:series>
        <cx:series layoutId="paretoLine" ownerIdx="4" uniqueId="{5CDB8B12-BDC9-4A29-9904-150EACE33431}" formatIdx="5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200297</xdr:colOff>
      <xdr:row>0</xdr:row>
      <xdr:rowOff>123009</xdr:rowOff>
    </xdr:from>
    <xdr:to>
      <xdr:col>11</xdr:col>
      <xdr:colOff>113210</xdr:colOff>
      <xdr:row>15</xdr:row>
      <xdr:rowOff>124097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3C84536E-3C85-4F85-82C3-86CEC13DA2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26397" y="123009"/>
              <a:ext cx="4503963" cy="29474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281940</xdr:colOff>
      <xdr:row>0</xdr:row>
      <xdr:rowOff>145325</xdr:rowOff>
    </xdr:from>
    <xdr:to>
      <xdr:col>17</xdr:col>
      <xdr:colOff>645523</xdr:colOff>
      <xdr:row>13</xdr:row>
      <xdr:rowOff>127907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8C2AA10-DD01-E8C4-B6D3-C4F5365CF8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214450</xdr:colOff>
      <xdr:row>16</xdr:row>
      <xdr:rowOff>31568</xdr:rowOff>
    </xdr:from>
    <xdr:to>
      <xdr:col>11</xdr:col>
      <xdr:colOff>99060</xdr:colOff>
      <xdr:row>30</xdr:row>
      <xdr:rowOff>83819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FA4E55D-A279-4C3E-B07D-13AE2DD4E6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naaleks" refreshedDate="45810.699392476854" createdVersion="8" refreshedVersion="8" minRefreshableVersion="3" recordCount="1" xr:uid="{0C82825E-9633-4712-8769-6EEFA1BA1164}">
  <cacheSource type="worksheet">
    <worksheetSource ref="A1:T2" sheet="data"/>
  </cacheSource>
  <cacheFields count="22">
    <cacheField name="услуга" numFmtId="2">
      <sharedItems containsNonDate="0" containsString="0" containsBlank="1"/>
    </cacheField>
    <cacheField name="ед_изм" numFmtId="0">
      <sharedItems containsNonDate="0" containsString="0" containsBlank="1"/>
    </cacheField>
    <cacheField name="объем_квит" numFmtId="4">
      <sharedItems containsNonDate="0" containsString="0" containsBlank="1"/>
    </cacheField>
    <cacheField name="тариф_квит" numFmtId="4">
      <sharedItems containsNonDate="0" containsString="0" containsBlank="1"/>
    </cacheField>
    <cacheField name="начислено_квит" numFmtId="4">
      <sharedItems containsNonDate="0" containsString="0" containsBlank="1"/>
    </cacheField>
    <cacheField name="объем_откл" numFmtId="4">
      <sharedItems containsNonDate="0" containsString="0" containsBlank="1"/>
    </cacheField>
    <cacheField name="тариф_откл" numFmtId="4">
      <sharedItems containsNonDate="0" containsString="0" containsBlank="1"/>
    </cacheField>
    <cacheField name="начислено_откл" numFmtId="4">
      <sharedItems containsNonDate="0" containsString="0" containsBlank="1"/>
    </cacheField>
    <cacheField name="объем_расчет" numFmtId="4">
      <sharedItems containsNonDate="0" containsString="0" containsBlank="1"/>
    </cacheField>
    <cacheField name="тариф_расчет" numFmtId="4">
      <sharedItems containsNonDate="0" containsString="0" containsBlank="1"/>
    </cacheField>
    <cacheField name="насчислено_расчет" numFmtId="4">
      <sharedItems containsNonDate="0" containsString="0" containsBlank="1"/>
    </cacheField>
    <cacheField name="норматив" numFmtId="2">
      <sharedItems containsNonDate="0" containsString="0" containsBlank="1"/>
    </cacheField>
    <cacheField name="период" numFmtId="14">
      <sharedItems containsNonDate="0" containsString="0" containsBlank="1"/>
    </cacheField>
    <cacheField name="поставщик" numFmtId="0">
      <sharedItems containsNonDate="0" containsBlank="1" count="6">
        <m/>
        <s v="ТНС Энерго" u="1"/>
        <s v="Ростовводоканал" u="1"/>
        <s v="УК ЖЭУ-5" u="1"/>
        <s v="НКО &quot;ФКР&quot;" u="1"/>
        <s v="ООО &quot;ЭкоЦентр&quot;" u="1"/>
      </sharedItems>
    </cacheField>
    <cacheField name="начислено_откл%" numFmtId="10">
      <sharedItems containsNonDate="0" containsString="0" containsBlank="1"/>
    </cacheField>
    <cacheField name="положит_откл" numFmtId="4">
      <sharedItems containsNonDate="0" containsString="0" containsBlank="1"/>
    </cacheField>
    <cacheField name="отриц_откл" numFmtId="4">
      <sharedItems containsNonDate="0" containsString="0" containsBlank="1"/>
    </cacheField>
    <cacheField name="год" numFmtId="0">
      <sharedItems containsNonDate="0" containsString="0" containsBlank="1" containsNumber="1" containsInteger="1" minValue="2024" maxValue="2025" count="3">
        <m/>
        <n v="2025" u="1"/>
        <n v="2024" u="1"/>
      </sharedItems>
    </cacheField>
    <cacheField name="месяц_№" numFmtId="0">
      <sharedItems containsNonDate="0" containsString="0" containsBlank="1"/>
    </cacheField>
    <cacheField name="месяц" numFmtId="0">
      <sharedItems containsNonDate="0" containsBlank="1" count="13">
        <m/>
        <s v="апрель" u="1"/>
        <s v="март" u="1"/>
        <s v="февраль" u="1"/>
        <s v="январь" u="1"/>
        <s v="декабрь" u="1"/>
        <s v="ноябрь" u="1"/>
        <s v="октябрь" u="1"/>
        <s v="сентябрь" u="1"/>
        <s v="август" u="1"/>
        <s v="июль" u="1"/>
        <s v="июнь" u="1"/>
        <s v="май" u="1"/>
      </sharedItems>
    </cacheField>
    <cacheField name="отклонение_руб" numFmtId="0" formula="начислено_квит-насчислено_расчет" databaseField="0"/>
    <cacheField name="отклонение_%" numFmtId="0" formula=" (начислено_квит-насчислено_расчет)/насчислено_расчет" databaseField="0"/>
  </cacheFields>
  <extLst>
    <ext xmlns:x14="http://schemas.microsoft.com/office/spreadsheetml/2009/9/main" uri="{725AE2AE-9491-48be-B2B4-4EB974FC3084}">
      <x14:pivotCacheDefinition pivotCacheId="1379459274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naaleks" refreshedDate="45810.699447453706" createdVersion="8" refreshedVersion="8" minRefreshableVersion="3" recordCount="1" xr:uid="{A9435065-04BE-426D-8999-CDE7E55A59FD}">
  <cacheSource type="worksheet">
    <worksheetSource name="Table2"/>
  </cacheSource>
  <cacheFields count="22">
    <cacheField name="услуга" numFmtId="2">
      <sharedItems containsNonDate="0" containsString="0" containsBlank="1"/>
    </cacheField>
    <cacheField name="ед_изм" numFmtId="0">
      <sharedItems containsNonDate="0" containsString="0" containsBlank="1"/>
    </cacheField>
    <cacheField name="объем_квит" numFmtId="4">
      <sharedItems containsNonDate="0" containsString="0" containsBlank="1"/>
    </cacheField>
    <cacheField name="тариф_квит" numFmtId="4">
      <sharedItems containsNonDate="0" containsString="0" containsBlank="1"/>
    </cacheField>
    <cacheField name="начислено_квит" numFmtId="4">
      <sharedItems containsNonDate="0" containsString="0" containsBlank="1"/>
    </cacheField>
    <cacheField name="объем_откл" numFmtId="4">
      <sharedItems containsNonDate="0" containsString="0" containsBlank="1"/>
    </cacheField>
    <cacheField name="тариф_откл" numFmtId="4">
      <sharedItems containsNonDate="0" containsString="0" containsBlank="1"/>
    </cacheField>
    <cacheField name="начислено_откл" numFmtId="4">
      <sharedItems containsNonDate="0" containsString="0" containsBlank="1"/>
    </cacheField>
    <cacheField name="объем_расчет" numFmtId="4">
      <sharedItems containsNonDate="0" containsString="0" containsBlank="1"/>
    </cacheField>
    <cacheField name="тариф_расчет" numFmtId="4">
      <sharedItems containsNonDate="0" containsString="0" containsBlank="1"/>
    </cacheField>
    <cacheField name="насчислено_расчет" numFmtId="4">
      <sharedItems containsNonDate="0" containsString="0" containsBlank="1"/>
    </cacheField>
    <cacheField name="норматив" numFmtId="2">
      <sharedItems containsNonDate="0" containsString="0" containsBlank="1"/>
    </cacheField>
    <cacheField name="период" numFmtId="14">
      <sharedItems containsNonDate="0" containsString="0" containsBlank="1"/>
    </cacheField>
    <cacheField name="поставщик" numFmtId="0">
      <sharedItems containsNonDate="0" containsBlank="1" count="6">
        <m/>
        <s v="ТНС Энерго" u="1"/>
        <s v="Ростовводоканал" u="1"/>
        <s v="УК ЖЭУ-5" u="1"/>
        <s v="НКО &quot;ФКР&quot;" u="1"/>
        <s v="ООО &quot;ЭкоЦентр&quot;" u="1"/>
      </sharedItems>
    </cacheField>
    <cacheField name="начислено_откл%" numFmtId="10">
      <sharedItems containsNonDate="0" containsString="0" containsBlank="1"/>
    </cacheField>
    <cacheField name="положит_откл" numFmtId="4">
      <sharedItems containsNonDate="0" containsString="0" containsBlank="1"/>
    </cacheField>
    <cacheField name="отриц_откл" numFmtId="4">
      <sharedItems containsNonDate="0" containsString="0" containsBlank="1"/>
    </cacheField>
    <cacheField name="год" numFmtId="0">
      <sharedItems containsNonDate="0" containsString="0" containsBlank="1" containsNumber="1" containsInteger="1" minValue="2024" maxValue="2025" count="3">
        <m/>
        <n v="2025" u="1"/>
        <n v="2024" u="1"/>
      </sharedItems>
    </cacheField>
    <cacheField name="месяц_№" numFmtId="0">
      <sharedItems containsNonDate="0" containsString="0" containsBlank="1"/>
    </cacheField>
    <cacheField name="месяц" numFmtId="0">
      <sharedItems containsNonDate="0" containsBlank="1" count="13">
        <m/>
        <s v="апрель" u="1"/>
        <s v="март" u="1"/>
        <s v="февраль" u="1"/>
        <s v="январь" u="1"/>
        <s v="декабрь" u="1"/>
        <s v="ноябрь" u="1"/>
        <s v="октябрь" u="1"/>
        <s v="сентябрь" u="1"/>
        <s v="август" u="1"/>
        <s v="июль" u="1"/>
        <s v="июнь" u="1"/>
        <s v="май" u="1"/>
      </sharedItems>
    </cacheField>
    <cacheField name="Начислено_откл_руб" numFmtId="0" formula="начислено_квит-насчислено_расчет" databaseField="0"/>
    <cacheField name="Начислено_откл%%" numFmtId="0" formula=" (начислено_квит-насчислено_расчет) /насчислено_расчет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m/>
    <m/>
    <m/>
    <m/>
    <m/>
    <m/>
    <m/>
    <m/>
    <m/>
    <m/>
    <m/>
    <m/>
    <m/>
    <x v="0"/>
    <m/>
    <m/>
    <m/>
    <x v="0"/>
    <m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m/>
    <m/>
    <m/>
    <m/>
    <m/>
    <m/>
    <m/>
    <m/>
    <m/>
    <m/>
    <m/>
    <m/>
    <m/>
    <x v="0"/>
    <m/>
    <m/>
    <m/>
    <x v="0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231426-3946-4FAE-A363-072197D8DAF2}" name="PivotTable3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Месяц">
  <location ref="AA4:AB6" firstHeaderRow="1" firstDataRow="1" firstDataCol="1" rowPageCount="1" colPageCount="1"/>
  <pivotFields count="22">
    <pivotField showAll="0"/>
    <pivotField showAll="0"/>
    <pivotField showAll="0"/>
    <pivotField showAll="0"/>
    <pivotField dataField="1" showAll="0"/>
    <pivotField showAll="0"/>
    <pivotField showAll="0"/>
    <pivotField numFmtId="4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axis="axisPage" showAll="0">
      <items count="4">
        <item m="1" x="2"/>
        <item m="1" x="1"/>
        <item x="0"/>
        <item t="default"/>
      </items>
    </pivotField>
    <pivotField showAll="0"/>
    <pivotField axis="axisRow" showAll="0">
      <items count="14">
        <item m="1" x="4"/>
        <item m="1" x="3"/>
        <item m="1" x="2"/>
        <item m="1" x="1"/>
        <item m="1" x="12"/>
        <item m="1" x="11"/>
        <item m="1" x="10"/>
        <item m="1" x="9"/>
        <item m="1" x="8"/>
        <item m="1" x="7"/>
        <item m="1" x="6"/>
        <item m="1" x="5"/>
        <item x="0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19"/>
  </rowFields>
  <rowItems count="2">
    <i>
      <x v="12"/>
    </i>
    <i t="grand">
      <x/>
    </i>
  </rowItems>
  <colItems count="1">
    <i/>
  </colItems>
  <pageFields count="1">
    <pageField fld="17" item="2" hier="-1"/>
  </pageFields>
  <dataFields count="1">
    <dataField name="Факт начислений" fld="4" baseField="17" baseItem="0" numFmtId="4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BBBD9A-9D48-47B7-8427-426296D86302}" name="PivotTable1" cacheId="1" applyNumberFormats="0" applyBorderFormats="0" applyFontFormats="0" applyPatternFormats="0" applyAlignmentFormats="0" applyWidthHeightFormats="1" dataCaption="Values" showError="1" updatedVersion="8" minRefreshableVersion="3" itemPrintTitles="1" createdVersion="8" indent="0" outline="1" outlineData="1" multipleFieldFilters="0">
  <location ref="B27:F31" firstHeaderRow="0" firstDataRow="1" firstDataCol="1"/>
  <pivotFields count="22">
    <pivotField showAll="0"/>
    <pivotField showAll="0"/>
    <pivotField showAll="0"/>
    <pivotField showAll="0"/>
    <pivotField dataField="1" showAll="0"/>
    <pivotField showAll="0"/>
    <pivotField showAll="0"/>
    <pivotField numFmtId="4" showAll="0"/>
    <pivotField showAll="0"/>
    <pivotField showAll="0"/>
    <pivotField dataField="1" showAll="0"/>
    <pivotField showAll="0"/>
    <pivotField numFmtId="14" showAll="0"/>
    <pivotField axis="axisRow" showAll="0">
      <items count="7">
        <item m="1" x="4"/>
        <item m="1" x="5"/>
        <item m="1" x="2"/>
        <item m="1" x="1"/>
        <item m="1" x="3"/>
        <item x="0"/>
        <item t="default"/>
      </items>
    </pivotField>
    <pivotField showAll="0"/>
    <pivotField showAll="0"/>
    <pivotField showAll="0"/>
    <pivotField axis="axisRow" showAll="0">
      <items count="4">
        <item m="1" x="2"/>
        <item m="1" x="1"/>
        <item x="0"/>
        <item t="default"/>
      </items>
    </pivotField>
    <pivotField showAll="0"/>
    <pivotField axis="axisRow" showAll="0">
      <items count="14">
        <item m="1" x="4"/>
        <item m="1" x="3"/>
        <item m="1" x="2"/>
        <item m="1" x="1"/>
        <item m="1" x="12"/>
        <item m="1" x="11"/>
        <item m="1" x="10"/>
        <item m="1" x="9"/>
        <item m="1" x="8"/>
        <item m="1" x="7"/>
        <item m="1" x="6"/>
        <item m="1" x="5"/>
        <item x="0"/>
        <item t="default"/>
      </items>
    </pivotField>
    <pivotField dataField="1" dragToRow="0" dragToCol="0" dragToPage="0" showAll="0" defaultSubtotal="0"/>
    <pivotField dataField="1" dragToRow="0" dragToCol="0" dragToPage="0" showAll="0" defaultSubtotal="0"/>
  </pivotFields>
  <rowFields count="3">
    <field x="17"/>
    <field x="19"/>
    <field x="13"/>
  </rowFields>
  <rowItems count="4">
    <i>
      <x v="2"/>
    </i>
    <i r="1">
      <x v="12"/>
    </i>
    <i r="2"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План (начисления)" fld="10" baseField="15" baseItem="0" numFmtId="4"/>
    <dataField name="Факт (начисления)" fld="4" baseField="13" baseItem="3" numFmtId="4"/>
    <dataField name="Отклонение (руб)" fld="20" baseField="13" baseItem="1" numFmtId="4"/>
    <dataField name="Отклонение (%)" fld="21" baseField="13" baseItem="1" numFmtId="10"/>
  </dataFields>
  <formats count="6">
    <format dxfId="27">
      <pivotArea field="17" type="button" dataOnly="0" labelOnly="1" outline="0" axis="axisRow" fieldPosition="0"/>
    </format>
    <format dxfId="2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5">
      <pivotArea field="17" type="button" dataOnly="0" labelOnly="1" outline="0" axis="axisRow" fieldPosition="0"/>
    </format>
    <format dxfId="2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3">
      <pivotArea field="17" type="button" dataOnly="0" labelOnly="1" outline="0" axis="axisRow" fieldPosition="0"/>
    </format>
    <format dxfId="2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734D62-F45A-43F2-8842-27AFF588CCB5}" name="отклонения по услугам" cacheId="0" applyNumberFormats="0" applyBorderFormats="0" applyFontFormats="0" applyPatternFormats="0" applyAlignmentFormats="0" applyWidthHeightFormats="1" dataCaption="Values" showError="1" updatedVersion="8" minRefreshableVersion="3" colGrandTotals="0" itemPrintTitles="1" createdVersion="8" indent="0" outline="1" outlineData="1" multipleFieldFilters="0" chartFormat="1" rowHeaderCaption="Услуга">
  <location ref="U2:W6" firstHeaderRow="1" firstDataRow="3" firstDataCol="1"/>
  <pivotFields count="22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numFmtId="14" showAll="0"/>
    <pivotField axis="axisRow" showAll="0">
      <items count="7">
        <item m="1" x="4"/>
        <item m="1" x="5"/>
        <item m="1" x="2"/>
        <item m="1" x="1"/>
        <item m="1" x="3"/>
        <item x="0"/>
        <item t="default"/>
      </items>
    </pivotField>
    <pivotField showAll="0"/>
    <pivotField showAll="0"/>
    <pivotField showAll="0"/>
    <pivotField axis="axisCol" showAll="0">
      <items count="4">
        <item m="1" x="2"/>
        <item m="1" x="1"/>
        <item x="0"/>
        <item t="default"/>
      </items>
    </pivotField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13"/>
  </rowFields>
  <rowItems count="2">
    <i>
      <x v="5"/>
    </i>
    <i t="grand">
      <x/>
    </i>
  </rowItems>
  <colFields count="2">
    <field x="17"/>
    <field x="-2"/>
  </colFields>
  <colItems count="2">
    <i>
      <x v="2"/>
      <x/>
    </i>
    <i r="1" i="1">
      <x v="1"/>
    </i>
  </colItems>
  <dataFields count="2">
    <dataField name="План (начисления)" fld="10" baseField="0" baseItem="0"/>
    <dataField name="Факт (начисления)" fld="4" baseField="0" baseItem="0"/>
  </dataFields>
  <formats count="18">
    <format dxfId="45">
      <pivotArea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format>
    <format dxfId="44">
      <pivotArea field="17" type="button" dataOnly="0" labelOnly="1" outline="0" axis="axisCol" fieldPosition="0"/>
    </format>
    <format dxfId="43">
      <pivotArea dataOnly="0" labelOnly="1" outline="0" fieldPosition="0">
        <references count="1">
          <reference field="17" count="1">
            <x v="0"/>
          </reference>
        </references>
      </pivotArea>
    </format>
    <format dxfId="42">
      <pivotArea dataOnly="0" labelOnly="1" outline="0" fieldPosition="0">
        <references count="2">
          <reference field="4294967294" count="1">
            <x v="0"/>
          </reference>
          <reference field="17" count="1" selected="0">
            <x v="0"/>
          </reference>
        </references>
      </pivotArea>
    </format>
    <format dxfId="41">
      <pivotArea outline="0" fieldPosition="0">
        <references count="2">
          <reference field="4294967294" count="1" selected="0">
            <x v="1"/>
          </reference>
          <reference field="17" count="1" selected="0">
            <x v="0"/>
          </reference>
        </references>
      </pivotArea>
    </format>
    <format dxfId="40">
      <pivotArea field="-2" type="button" dataOnly="0" labelOnly="1" outline="0" axis="axisCol" fieldPosition="1"/>
    </format>
    <format dxfId="39">
      <pivotArea type="topRight" dataOnly="0" labelOnly="1" outline="0" fieldPosition="0"/>
    </format>
    <format dxfId="38">
      <pivotArea outline="0" fieldPosition="0">
        <references count="2">
          <reference field="4294967294" count="2" selected="0">
            <x v="0"/>
            <x v="1"/>
          </reference>
          <reference field="17" count="1" selected="0">
            <x v="1"/>
          </reference>
        </references>
      </pivotArea>
    </format>
    <format dxfId="37">
      <pivotArea dataOnly="0" labelOnly="1" outline="0" fieldPosition="0">
        <references count="2">
          <reference field="4294967294" count="1" selected="0">
            <x v="0"/>
          </reference>
          <reference field="17" count="1">
            <x v="0"/>
          </reference>
        </references>
      </pivotArea>
    </format>
    <format dxfId="36">
      <pivotArea type="origin" dataOnly="0" labelOnly="1" outline="0" fieldPosition="0"/>
    </format>
    <format dxfId="35">
      <pivotArea field="-2" type="button" dataOnly="0" labelOnly="1" outline="0" axis="axisCol" fieldPosition="1"/>
    </format>
    <format dxfId="34">
      <pivotArea field="17" type="button" dataOnly="0" labelOnly="1" outline="0" axis="axisCol" fieldPosition="0"/>
    </format>
    <format dxfId="33">
      <pivotArea type="topRight" dataOnly="0" labelOnly="1" outline="0" fieldPosition="0"/>
    </format>
    <format dxfId="32">
      <pivotArea type="origin" dataOnly="0" labelOnly="1" outline="0" fieldPosition="0"/>
    </format>
    <format dxfId="31">
      <pivotArea field="-2" type="button" dataOnly="0" labelOnly="1" outline="0" axis="axisCol" fieldPosition="1"/>
    </format>
    <format dxfId="30">
      <pivotArea field="17" type="button" dataOnly="0" labelOnly="1" outline="0" axis="axisCol" fieldPosition="0"/>
    </format>
    <format dxfId="29">
      <pivotArea type="topRight" dataOnly="0" labelOnly="1" outline="0" fieldPosition="0"/>
    </format>
    <format dxfId="28">
      <pivotArea dataOnly="0" labelOnly="1" fieldPosition="0">
        <references count="1">
          <reference field="17" count="1">
            <x v="0"/>
          </reference>
        </references>
      </pivotArea>
    </format>
  </format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17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17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1"/>
          </reference>
          <reference field="17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47A43B-033B-44E1-A183-5A9895611AE7}" name="отклонения по месяцам" cacheId="0" applyNumberFormats="0" applyBorderFormats="0" applyFontFormats="0" applyPatternFormats="0" applyAlignmentFormats="0" applyWidthHeightFormats="1" dataCaption="Values" showError="1" updatedVersion="8" minRefreshableVersion="3" itemPrintTitles="1" createdVersion="8" indent="0" compact="0" outline="1" outlineData="1" compactData="0" multipleFieldFilters="0">
  <location ref="A2:F5" firstHeaderRow="0" firstDataRow="1" firstDataCol="2"/>
  <pivotFields count="22">
    <pivotField compact="0" showAll="0"/>
    <pivotField compact="0" showAll="0"/>
    <pivotField compact="0" showAll="0"/>
    <pivotField compact="0" showAll="0"/>
    <pivotField dataField="1" compact="0" showAll="0" defaultSubtota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numFmtId="14" showAll="0"/>
    <pivotField compact="0" showAll="0"/>
    <pivotField compact="0" showAll="0"/>
    <pivotField compact="0" showAll="0"/>
    <pivotField compact="0" showAll="0"/>
    <pivotField axis="axisRow" compact="0" showAll="0">
      <items count="4">
        <item m="1" x="2"/>
        <item m="1" x="1"/>
        <item x="0"/>
        <item t="default"/>
      </items>
    </pivotField>
    <pivotField compact="0" showAll="0"/>
    <pivotField axis="axisRow" compact="0" showAll="0">
      <items count="14">
        <item m="1" x="4"/>
        <item m="1" x="3"/>
        <item m="1" x="2"/>
        <item m="1" x="1"/>
        <item m="1" x="12"/>
        <item m="1" x="11"/>
        <item m="1" x="10"/>
        <item m="1" x="9"/>
        <item m="1" x="8"/>
        <item m="1" x="7"/>
        <item m="1" x="6"/>
        <item m="1" x="5"/>
        <item x="0"/>
        <item t="default"/>
      </items>
    </pivotField>
    <pivotField dataField="1" compact="0" dragToRow="0" dragToCol="0" dragToPage="0" showAll="0" defaultSubtotal="0"/>
    <pivotField dataField="1" compact="0" dragToRow="0" dragToCol="0" dragToPage="0" showAll="0" defaultSubtotal="0"/>
  </pivotFields>
  <rowFields count="2">
    <field x="17"/>
    <field x="19"/>
  </rowFields>
  <rowItems count="3">
    <i>
      <x v="2"/>
    </i>
    <i r="1">
      <x v="1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План (начисления)" fld="10" baseField="17" baseItem="0"/>
    <dataField name="Факт (начисления)" fld="4" baseField="17" baseItem="0" numFmtId="4"/>
    <dataField name="Отклонение (руб)" fld="20" baseField="17" baseItem="0"/>
    <dataField name="Отклонение (%)" fld="21" baseField="17" baseItem="0" numFmtId="10"/>
  </dataFields>
  <formats count="11">
    <format dxfId="56">
      <pivotArea outline="0" collapsedLevelsAreSubtotals="1" fieldPosition="0"/>
    </format>
    <format dxfId="5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4">
      <pivotArea outline="0" fieldPosition="0">
        <references count="1">
          <reference field="4294967294" count="1" selected="0">
            <x v="1"/>
          </reference>
        </references>
      </pivotArea>
    </format>
    <format dxfId="5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2">
      <pivotArea outline="0" fieldPosition="0">
        <references count="1">
          <reference field="4294967294" count="1">
            <x v="3"/>
          </reference>
        </references>
      </pivotArea>
    </format>
    <format dxfId="51">
      <pivotArea field="19" type="button" dataOnly="0" labelOnly="1" outline="0" axis="axisRow" fieldPosition="1"/>
    </format>
    <format dxfId="5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49">
      <pivotArea field="19" type="button" dataOnly="0" labelOnly="1" outline="0" axis="axisRow" fieldPosition="1"/>
    </format>
    <format dxfId="4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47">
      <pivotArea field="19" type="button" dataOnly="0" labelOnly="1" outline="0" axis="axisRow" fieldPosition="1"/>
    </format>
    <format dxfId="4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8A7D06-120E-408B-AEDA-813F2FAAD501}" name="Table2" displayName="Table2" ref="A1:T2" insertRow="1" totalsRowShown="0" headerRowDxfId="21" dataDxfId="20">
  <autoFilter ref="A1:T2" xr:uid="{038A7D06-120E-408B-AEDA-813F2FAAD501}"/>
  <tableColumns count="20">
    <tableColumn id="1" xr3:uid="{A040E5F1-B940-434F-8642-3D7965B0C906}" name="услуга" dataDxfId="19"/>
    <tableColumn id="2" xr3:uid="{F1E9BBF3-FF65-4BCE-A746-A764AA053336}" name="ед_изм" dataDxfId="18"/>
    <tableColumn id="3" xr3:uid="{95BCA9F7-93A8-474A-B486-B60193571EE3}" name="объем_квит" dataDxfId="17"/>
    <tableColumn id="4" xr3:uid="{68D5AF23-9C08-4C25-A70E-D5B9C5258B85}" name="тариф_квит" dataDxfId="16"/>
    <tableColumn id="5" xr3:uid="{1AE3F8D2-8628-41AA-B125-5D9318037FFC}" name="начислено_квит" dataDxfId="15"/>
    <tableColumn id="6" xr3:uid="{2352EB12-E5C2-4AD6-8516-1C5A276F0128}" name="объем_откл" dataDxfId="14"/>
    <tableColumn id="7" xr3:uid="{7BC866F5-0902-4D0A-9F28-F44EC965920C}" name="тариф_откл" dataDxfId="13"/>
    <tableColumn id="8" xr3:uid="{DCE0FDDD-E687-4FB1-A515-511A0D4227D7}" name="начислено_откл" dataDxfId="12"/>
    <tableColumn id="9" xr3:uid="{ABA713D2-6A48-414E-8866-3C6F39D5A490}" name="объем_расчет" dataDxfId="11"/>
    <tableColumn id="10" xr3:uid="{EB157C1F-294F-4DFA-B0C3-E5402FF488C6}" name="тариф_расчет" dataDxfId="10"/>
    <tableColumn id="11" xr3:uid="{16FD8211-F0B8-47DC-B4C9-EE5186864112}" name="насчислено_расчет" dataDxfId="9"/>
    <tableColumn id="12" xr3:uid="{E9403770-B09D-40E2-BEFE-72B760354FEB}" name="норматив" dataDxfId="8"/>
    <tableColumn id="13" xr3:uid="{5E21BED0-908D-4682-8E01-9D5911F61AB9}" name="период" dataDxfId="7"/>
    <tableColumn id="14" xr3:uid="{6C555CCE-FDE0-4600-A16A-E7977D4C1331}" name="поставщик" dataDxfId="6"/>
    <tableColumn id="18" xr3:uid="{70B0664C-2BB9-44F5-A956-B8CFF607EBD0}" name="начислено_откл%" dataDxfId="5">
      <calculatedColumnFormula>IF(Table2[[#This Row],[начислено_откл]]=0,0,(Table2[[#This Row],[начислено_квит]]-Table2[[#This Row],[насчислено_расчет]])/Table2[[#This Row],[насчислено_расчет]])</calculatedColumnFormula>
    </tableColumn>
    <tableColumn id="19" xr3:uid="{725C5E98-3B75-474D-9C6F-E06942598B1D}" name="положит_откл" dataDxfId="4">
      <calculatedColumnFormula>IF(Table2[[#This Row],[начислено_откл]]&gt;0,Table2[[#This Row],[начислено_откл]],0)</calculatedColumnFormula>
    </tableColumn>
    <tableColumn id="20" xr3:uid="{307D926C-82F4-46F4-AC93-88CE44B6AD40}" name="отриц_откл" dataDxfId="3">
      <calculatedColumnFormula>IF(Table2[[#This Row],[начислено_откл]]&lt;0,Table2[[#This Row],[начислено_откл]],0)</calculatedColumnFormula>
    </tableColumn>
    <tableColumn id="15" xr3:uid="{5780D1EA-A409-449C-BCA3-DC86372888EC}" name="год" dataDxfId="2">
      <calculatedColumnFormula>YEAR(M2)</calculatedColumnFormula>
    </tableColumn>
    <tableColumn id="16" xr3:uid="{3889E082-3447-4F9E-A275-7FE45FCFD6FB}" name="месяц_№" dataDxfId="1">
      <calculatedColumnFormula>MONTH(M2)</calculatedColumnFormula>
    </tableColumn>
    <tableColumn id="17" xr3:uid="{E6E9DC5E-485F-4A72-A2BF-41BAB4F90D1B}" name="месяц" dataDxfId="0">
      <calculatedColumnFormula>CHOOSE(S2,"январь","февраль","март","апрель","май","июнь","июль","август","сентябрь","октябрь","ноябрь","декабрь")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onland.ru/news/32277/" TargetMode="External"/><Relationship Id="rId2" Type="http://schemas.openxmlformats.org/officeDocument/2006/relationships/hyperlink" Target="https://www.donland.ru/activity/353/" TargetMode="External"/><Relationship Id="rId1" Type="http://schemas.openxmlformats.org/officeDocument/2006/relationships/hyperlink" Target="https://vodokanalrnd.ru/abonentu/tarify/" TargetMode="External"/><Relationship Id="rId4" Type="http://schemas.openxmlformats.org/officeDocument/2006/relationships/hyperlink" Target="https://www.donland.ru/activity/349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3ECE3-36C8-4C46-AC21-390A7CBD00EF}">
  <dimension ref="A1:N32"/>
  <sheetViews>
    <sheetView showGridLines="0" topLeftCell="A6" workbookViewId="0">
      <selection activeCell="G23" sqref="G23"/>
    </sheetView>
  </sheetViews>
  <sheetFormatPr defaultColWidth="9.1796875" defaultRowHeight="14.5" x14ac:dyDescent="0.35"/>
  <cols>
    <col min="1" max="1" width="21.26953125" style="3" customWidth="1"/>
    <col min="2" max="2" width="11.36328125" style="3" customWidth="1"/>
    <col min="3" max="3" width="9" style="3" customWidth="1"/>
    <col min="4" max="4" width="11" style="3" customWidth="1"/>
    <col min="5" max="5" width="11.26953125" style="3" bestFit="1" customWidth="1"/>
    <col min="6" max="11" width="11.26953125" style="3" customWidth="1"/>
    <col min="12" max="12" width="14.90625" style="3" customWidth="1"/>
    <col min="13" max="13" width="11.26953125" style="3" hidden="1" customWidth="1"/>
    <col min="14" max="14" width="16.7265625" style="3" customWidth="1"/>
    <col min="15" max="15" width="59.1796875" style="3" customWidth="1"/>
    <col min="16" max="16384" width="9.1796875" style="3"/>
  </cols>
  <sheetData>
    <row r="1" spans="1:14" hidden="1" x14ac:dyDescent="0.35">
      <c r="A1" s="3" t="s">
        <v>35</v>
      </c>
      <c r="B1" s="69">
        <f>EDATE(B3, -1)</f>
        <v>46023</v>
      </c>
      <c r="F1"/>
    </row>
    <row r="2" spans="1:14" hidden="1" x14ac:dyDescent="0.35">
      <c r="B2" s="6"/>
      <c r="F2"/>
    </row>
    <row r="3" spans="1:14" x14ac:dyDescent="0.35">
      <c r="A3" s="5" t="s">
        <v>44</v>
      </c>
      <c r="B3" s="69">
        <v>46054</v>
      </c>
      <c r="F3"/>
    </row>
    <row r="4" spans="1:14" x14ac:dyDescent="0.35">
      <c r="A4" s="5" t="s">
        <v>144</v>
      </c>
      <c r="B4" s="81">
        <f>info!B7</f>
        <v>55.2</v>
      </c>
      <c r="F4"/>
    </row>
    <row r="5" spans="1:14" x14ac:dyDescent="0.35">
      <c r="A5" s="5" t="s">
        <v>145</v>
      </c>
      <c r="B5" s="79">
        <f>info!B6</f>
        <v>2</v>
      </c>
    </row>
    <row r="6" spans="1:14" ht="15" thickBot="1" x14ac:dyDescent="0.4">
      <c r="B6" s="6"/>
    </row>
    <row r="7" spans="1:14" s="5" customFormat="1" ht="15" thickBot="1" x14ac:dyDescent="0.4">
      <c r="A7" s="3"/>
      <c r="B7" s="3"/>
      <c r="C7" s="82" t="s">
        <v>36</v>
      </c>
      <c r="D7" s="83"/>
      <c r="E7" s="84"/>
      <c r="F7" s="85" t="s">
        <v>37</v>
      </c>
      <c r="G7" s="86"/>
      <c r="H7" s="87"/>
      <c r="I7" s="88" t="s">
        <v>146</v>
      </c>
      <c r="J7" s="89"/>
      <c r="K7" s="90"/>
      <c r="M7" s="7"/>
      <c r="N7" s="7"/>
    </row>
    <row r="8" spans="1:14" s="72" customFormat="1" ht="44" thickBot="1" x14ac:dyDescent="0.4">
      <c r="A8" s="70" t="s">
        <v>38</v>
      </c>
      <c r="B8" s="71" t="s">
        <v>39</v>
      </c>
      <c r="C8" s="73" t="s">
        <v>40</v>
      </c>
      <c r="D8" s="74" t="s">
        <v>41</v>
      </c>
      <c r="E8" s="75" t="s">
        <v>42</v>
      </c>
      <c r="F8" s="77" t="s">
        <v>40</v>
      </c>
      <c r="G8" s="77" t="s">
        <v>41</v>
      </c>
      <c r="H8" s="77" t="s">
        <v>42</v>
      </c>
      <c r="I8" s="78" t="s">
        <v>138</v>
      </c>
      <c r="J8" s="70" t="s">
        <v>139</v>
      </c>
      <c r="K8" s="70" t="s">
        <v>140</v>
      </c>
      <c r="L8" s="8" t="s">
        <v>141</v>
      </c>
      <c r="M8" s="8" t="s">
        <v>43</v>
      </c>
      <c r="N8" s="8" t="s">
        <v>11</v>
      </c>
    </row>
    <row r="9" spans="1:14" ht="15" thickBot="1" x14ac:dyDescent="0.4">
      <c r="A9" s="21" t="s">
        <v>15</v>
      </c>
      <c r="B9" s="23" t="s">
        <v>45</v>
      </c>
      <c r="C9" s="102">
        <v>201</v>
      </c>
      <c r="D9" s="103">
        <v>4.2</v>
      </c>
      <c r="E9" s="109">
        <v>844.2</v>
      </c>
      <c r="F9" s="97">
        <f>IFERROR(INDEX(usage!B:B, MATCH(CHECK!$B$3, usage!A:A, 0)) - INDEX(usage!B:B, MATCH(CHECK!$B$1, usage!A:A, 0)),"")</f>
        <v>201</v>
      </c>
      <c r="G9" s="76">
        <f>IF(F9&lt;M9, INDEX(tariffs!2:2, MATCH(CHECK!$B$3,tariffs!$1:$1, 0)), INDEX(tariffs!3:3, MATCH(CHECK!$B$3,tariffs!$1:$1, 0)))</f>
        <v>4.2</v>
      </c>
      <c r="H9" s="108">
        <f>IFERROR(F9*G9,"")</f>
        <v>844.2</v>
      </c>
      <c r="I9" s="36">
        <f t="shared" ref="I9:J11" si="0">IFERROR(F9-C9, "")</f>
        <v>0</v>
      </c>
      <c r="J9" s="37">
        <f t="shared" si="0"/>
        <v>0</v>
      </c>
      <c r="K9" s="38">
        <f>IFERROR(E9-H9,"")</f>
        <v>0</v>
      </c>
      <c r="L9" s="3" t="str">
        <f>IF(ABS(K9)&lt;=1,"✔ ОК",IF(K9&gt;1,"❗ Превышение","❗ Недосчет"))</f>
        <v>✔ ОК</v>
      </c>
      <c r="M9" s="39">
        <f>IFERROR(INDEX(tariffs!16:16, MATCH(CHECK!$B$3, tariffs!$1:$1, 0)),"")</f>
        <v>761</v>
      </c>
      <c r="N9" s="10" t="str">
        <f>VLOOKUP(A9,info!A13:B29, 2,FALSE)</f>
        <v>Поставщик света</v>
      </c>
    </row>
    <row r="10" spans="1:14" ht="15" thickBot="1" x14ac:dyDescent="0.4">
      <c r="A10" s="21" t="s">
        <v>18</v>
      </c>
      <c r="B10" s="23" t="s">
        <v>46</v>
      </c>
      <c r="C10" s="93">
        <v>4.5979999999999999</v>
      </c>
      <c r="D10" s="103">
        <v>62.98</v>
      </c>
      <c r="E10" s="109">
        <v>289.58203999999995</v>
      </c>
      <c r="F10" s="95">
        <f>IFERROR(INDEX(usage!C:C, MATCH(CHECK!$B$3, usage!A:A, 0)) - INDEX(usage!C:C, MATCH(CHECK!$B$1, usage!A:A, 0)),"")</f>
        <v>4.597999999999999</v>
      </c>
      <c r="G10" s="76">
        <f>INDEX(tariffs!4:4, MATCH(CHECK!$B$3,tariffs!$1:$1, 0))</f>
        <v>62.98</v>
      </c>
      <c r="H10" s="108">
        <f t="shared" ref="H10:H24" si="1">IFERROR(F10*G10,"")</f>
        <v>289.58203999999995</v>
      </c>
      <c r="I10" s="36">
        <f t="shared" si="0"/>
        <v>-8.8817841970012523E-16</v>
      </c>
      <c r="J10" s="37">
        <f t="shared" si="0"/>
        <v>0</v>
      </c>
      <c r="K10" s="38">
        <f>IFERROR(E10-H10,"")</f>
        <v>0</v>
      </c>
      <c r="L10" s="3" t="str">
        <f t="shared" ref="L10:L24" si="2">IF(ABS(K10)&lt;=1,"✔ ОК",IF(K10&gt;1,"❗ Превышение","❗ Недосчет"))</f>
        <v>✔ ОК</v>
      </c>
      <c r="M10" s="39"/>
      <c r="N10" s="10" t="str">
        <f>VLOOKUP(A10,info!A14:B30, 2,FALSE)</f>
        <v>Поставщик воды</v>
      </c>
    </row>
    <row r="11" spans="1:14" ht="15" thickBot="1" x14ac:dyDescent="0.4">
      <c r="A11" s="21" t="s">
        <v>133</v>
      </c>
      <c r="B11" s="23" t="s">
        <v>46</v>
      </c>
      <c r="C11" s="93">
        <v>4.5979999999999999</v>
      </c>
      <c r="D11" s="103">
        <v>44.12</v>
      </c>
      <c r="E11" s="109">
        <v>202.86375999999998</v>
      </c>
      <c r="F11" s="95">
        <f>F10</f>
        <v>4.597999999999999</v>
      </c>
      <c r="G11" s="76">
        <f>INDEX(tariffs!5:5, MATCH(CHECK!$B$3,tariffs!$1:$1, 0))</f>
        <v>44.12</v>
      </c>
      <c r="H11" s="108">
        <f t="shared" si="1"/>
        <v>202.86375999999996</v>
      </c>
      <c r="I11" s="36">
        <f t="shared" si="0"/>
        <v>-8.8817841970012523E-16</v>
      </c>
      <c r="J11" s="37">
        <f t="shared" si="0"/>
        <v>0</v>
      </c>
      <c r="K11" s="38">
        <f>IFERROR(E11-H11,"")</f>
        <v>2.8421709430404007E-14</v>
      </c>
      <c r="L11" s="3" t="str">
        <f t="shared" si="2"/>
        <v>✔ ОК</v>
      </c>
      <c r="N11" s="10" t="str">
        <f>VLOOKUP(A11,info!A15:B31, 2,FALSE)</f>
        <v>Поставщик воды</v>
      </c>
    </row>
    <row r="12" spans="1:14" ht="15" thickBot="1" x14ac:dyDescent="0.4">
      <c r="A12" s="21" t="s">
        <v>136</v>
      </c>
      <c r="B12" s="23" t="s">
        <v>46</v>
      </c>
      <c r="C12" s="93">
        <v>3.202</v>
      </c>
      <c r="D12" s="103">
        <v>62.98</v>
      </c>
      <c r="E12" s="109">
        <v>201.66195999999999</v>
      </c>
      <c r="F12" s="95">
        <f>IFERROR(INDEX(usage!D:D, MATCH(CHECK!$B$3, usage!A:A, 0)) - INDEX(usage!D:D, MATCH(CHECK!$B$1, usage!A:A, 0)),"")</f>
        <v>3.202</v>
      </c>
      <c r="G12" s="76">
        <f>INDEX(tariffs!4:4, MATCH(CHECK!$B$3,tariffs!$1:$1, 0))</f>
        <v>62.98</v>
      </c>
      <c r="H12" s="108">
        <f t="shared" si="1"/>
        <v>201.66195999999999</v>
      </c>
      <c r="I12" s="36"/>
      <c r="J12" s="37"/>
      <c r="K12" s="38"/>
      <c r="L12" s="3" t="str">
        <f t="shared" si="2"/>
        <v>✔ ОК</v>
      </c>
      <c r="N12" s="10" t="str">
        <f>VLOOKUP(A12,info!A16:B32, 2,FALSE)</f>
        <v>Поставщик воды</v>
      </c>
    </row>
    <row r="13" spans="1:14" ht="15" thickBot="1" x14ac:dyDescent="0.4">
      <c r="A13" s="21" t="s">
        <v>134</v>
      </c>
      <c r="B13" s="23" t="s">
        <v>46</v>
      </c>
      <c r="C13" s="93">
        <v>3.202</v>
      </c>
      <c r="D13" s="103">
        <v>44.12</v>
      </c>
      <c r="E13" s="109">
        <v>141.27223999999998</v>
      </c>
      <c r="F13" s="95">
        <f>F12</f>
        <v>3.202</v>
      </c>
      <c r="G13" s="76">
        <f>INDEX(tariffs!5:5, MATCH(CHECK!$B$3,tariffs!$1:$1, 0))</f>
        <v>44.12</v>
      </c>
      <c r="H13" s="108">
        <f t="shared" si="1"/>
        <v>141.27223999999998</v>
      </c>
      <c r="I13" s="36">
        <f t="shared" ref="I13:J15" si="3">IFERROR(F13-C13, "")</f>
        <v>0</v>
      </c>
      <c r="J13" s="37">
        <f t="shared" si="3"/>
        <v>0</v>
      </c>
      <c r="K13" s="38">
        <f>IFERROR(E13-H13,"")</f>
        <v>0</v>
      </c>
      <c r="L13" s="3" t="str">
        <f t="shared" si="2"/>
        <v>✔ ОК</v>
      </c>
      <c r="M13" s="39"/>
      <c r="N13" s="10" t="str">
        <f>VLOOKUP(A13,info!A17:B33, 2,FALSE)</f>
        <v>Поставщик воды</v>
      </c>
    </row>
    <row r="14" spans="1:14" ht="15" thickBot="1" x14ac:dyDescent="0.4">
      <c r="A14" s="21" t="s">
        <v>27</v>
      </c>
      <c r="B14" s="23" t="s">
        <v>46</v>
      </c>
      <c r="C14" s="94">
        <v>6.5110000000000001</v>
      </c>
      <c r="D14" s="104">
        <v>227.18</v>
      </c>
      <c r="E14" s="109">
        <v>1479.1689800000001</v>
      </c>
      <c r="F14" s="95">
        <f>IFERROR(C14,"")</f>
        <v>6.5110000000000001</v>
      </c>
      <c r="G14" s="76">
        <f>INDEX(tariffs!6:6, MATCH(CHECK!$B$3,tariffs!$1:$1, 0))</f>
        <v>227.18</v>
      </c>
      <c r="H14" s="108">
        <f t="shared" si="1"/>
        <v>1479.1689800000001</v>
      </c>
      <c r="I14" s="36">
        <f t="shared" si="3"/>
        <v>0</v>
      </c>
      <c r="J14" s="37">
        <f t="shared" si="3"/>
        <v>0</v>
      </c>
      <c r="K14" s="38">
        <f>IFERROR(E14-H14,"")</f>
        <v>0</v>
      </c>
      <c r="L14" s="3" t="str">
        <f t="shared" si="2"/>
        <v>✔ ОК</v>
      </c>
      <c r="M14" s="42">
        <f>IFERROR(INDEX(tariffs!18:18, MATCH(CHECK!$B$3, tariffs!$1:$1, 0)),"")</f>
        <v>16.2</v>
      </c>
      <c r="N14" s="10" t="str">
        <f>VLOOKUP(A14,info!A18:B34, 2,FALSE)</f>
        <v>Управляющая</v>
      </c>
    </row>
    <row r="15" spans="1:14" ht="15" thickBot="1" x14ac:dyDescent="0.4">
      <c r="A15" s="21" t="s">
        <v>29</v>
      </c>
      <c r="B15" s="23" t="s">
        <v>48</v>
      </c>
      <c r="C15" s="93">
        <v>3.9864999999999999</v>
      </c>
      <c r="D15" s="104">
        <v>3549.74</v>
      </c>
      <c r="E15" s="109">
        <v>14151.038509999998</v>
      </c>
      <c r="F15" s="98">
        <f>IFERROR(C15,"")</f>
        <v>3.9864999999999999</v>
      </c>
      <c r="G15" s="76">
        <f>INDEX(tariffs!7:7, MATCH(CHECK!$B$3,tariffs!$1:$1, 0))</f>
        <v>3549.74</v>
      </c>
      <c r="H15" s="108">
        <f t="shared" si="1"/>
        <v>14151.038509999998</v>
      </c>
      <c r="I15" s="36">
        <f t="shared" si="3"/>
        <v>0</v>
      </c>
      <c r="J15" s="37">
        <f t="shared" si="3"/>
        <v>0</v>
      </c>
      <c r="K15" s="38">
        <f>IFERROR(E15-H15,"")</f>
        <v>0</v>
      </c>
      <c r="L15" s="3" t="str">
        <f t="shared" si="2"/>
        <v>✔ ОК</v>
      </c>
      <c r="M15" s="39"/>
      <c r="N15" s="10" t="str">
        <f>VLOOKUP(A15,info!A19:B35, 2,FALSE)</f>
        <v>Управляющая</v>
      </c>
    </row>
    <row r="16" spans="1:14" ht="15" thickBot="1" x14ac:dyDescent="0.4">
      <c r="A16" s="21" t="s">
        <v>137</v>
      </c>
      <c r="B16" s="23" t="s">
        <v>46</v>
      </c>
      <c r="C16" s="93">
        <v>0.89500000000000002</v>
      </c>
      <c r="D16" s="103">
        <v>227.18</v>
      </c>
      <c r="E16" s="109">
        <v>203.3261</v>
      </c>
      <c r="F16" s="95">
        <f t="shared" ref="F16:F20" si="4">IFERROR(C16,"")</f>
        <v>0.89500000000000002</v>
      </c>
      <c r="G16" s="76">
        <f>INDEX(tariffs!6:6, MATCH(CHECK!$B$3,tariffs!$1:$1, 0))</f>
        <v>227.18</v>
      </c>
      <c r="H16" s="108">
        <f t="shared" si="1"/>
        <v>203.3261</v>
      </c>
      <c r="I16" s="36"/>
      <c r="J16" s="37"/>
      <c r="K16" s="38"/>
      <c r="L16" s="3" t="str">
        <f t="shared" si="2"/>
        <v>✔ ОК</v>
      </c>
      <c r="M16" s="39"/>
      <c r="N16" s="10" t="str">
        <f>VLOOKUP(A16,info!A20:B36, 2,FALSE)</f>
        <v>Управляющая</v>
      </c>
    </row>
    <row r="17" spans="1:14" ht="15" thickBot="1" x14ac:dyDescent="0.4">
      <c r="A17" s="21" t="s">
        <v>129</v>
      </c>
      <c r="B17" s="23" t="s">
        <v>46</v>
      </c>
      <c r="C17" s="93">
        <v>0.89500000000000002</v>
      </c>
      <c r="D17" s="103">
        <v>62.98</v>
      </c>
      <c r="E17" s="109">
        <v>56.367100000000001</v>
      </c>
      <c r="F17" s="95">
        <f t="shared" si="4"/>
        <v>0.89500000000000002</v>
      </c>
      <c r="G17" s="76">
        <f>INDEX(tariffs!4:4, MATCH(CHECK!$B$3,tariffs!$1:$1, 0))</f>
        <v>62.98</v>
      </c>
      <c r="H17" s="108">
        <f t="shared" si="1"/>
        <v>56.367100000000001</v>
      </c>
      <c r="I17" s="36">
        <f t="shared" ref="I17:J24" si="5">IFERROR(F17-C17, "")</f>
        <v>0</v>
      </c>
      <c r="J17" s="37">
        <f t="shared" si="5"/>
        <v>0</v>
      </c>
      <c r="K17" s="38">
        <f t="shared" ref="K17:K24" si="6">IFERROR(E17-H17,"")</f>
        <v>0</v>
      </c>
      <c r="L17" s="3" t="str">
        <f t="shared" si="2"/>
        <v>✔ ОК</v>
      </c>
      <c r="M17" s="42">
        <f>IFERROR(INDEX(tariffs!17:17, MATCH(CHECK!$B$3, tariffs!$1:$1, 0)),"")</f>
        <v>0.67909799999999998</v>
      </c>
      <c r="N17" s="10" t="str">
        <f>VLOOKUP(A17,info!A21:B37, 2,FALSE)</f>
        <v>Управляющая</v>
      </c>
    </row>
    <row r="18" spans="1:14" ht="15" thickBot="1" x14ac:dyDescent="0.4">
      <c r="A18" s="21" t="s">
        <v>130</v>
      </c>
      <c r="B18" s="23" t="s">
        <v>46</v>
      </c>
      <c r="C18" s="93">
        <v>1.3520000000000001</v>
      </c>
      <c r="D18" s="104">
        <v>62.98</v>
      </c>
      <c r="E18" s="109">
        <v>85.148960000000002</v>
      </c>
      <c r="F18" s="95">
        <f t="shared" si="4"/>
        <v>1.3520000000000001</v>
      </c>
      <c r="G18" s="76">
        <f>INDEX(tariffs!4:4, MATCH(CHECK!$B$3,tariffs!$1:$1, 0))</f>
        <v>62.98</v>
      </c>
      <c r="H18" s="108">
        <f t="shared" si="1"/>
        <v>85.148960000000002</v>
      </c>
      <c r="I18" s="36">
        <f t="shared" si="5"/>
        <v>0</v>
      </c>
      <c r="J18" s="37">
        <f t="shared" si="5"/>
        <v>0</v>
      </c>
      <c r="K18" s="38">
        <f t="shared" si="6"/>
        <v>0</v>
      </c>
      <c r="L18" s="3" t="str">
        <f t="shared" si="2"/>
        <v>✔ ОК</v>
      </c>
      <c r="M18" s="42">
        <f>IFERROR(INDEX(tariffs!20:20, MATCH(CHECK!$B$3, tariffs!$1:$1, 0)),"")</f>
        <v>1.358196</v>
      </c>
      <c r="N18" s="10" t="str">
        <f>VLOOKUP(A18,info!A22:B38, 2,FALSE)</f>
        <v>Управляющая</v>
      </c>
    </row>
    <row r="19" spans="1:14" ht="29.5" thickBot="1" x14ac:dyDescent="0.4">
      <c r="A19" s="21" t="s">
        <v>131</v>
      </c>
      <c r="B19" s="23" t="s">
        <v>46</v>
      </c>
      <c r="C19" s="93">
        <v>1.3520000000000001</v>
      </c>
      <c r="D19" s="104">
        <v>44.12</v>
      </c>
      <c r="E19" s="109">
        <v>59.650240000000004</v>
      </c>
      <c r="F19" s="95">
        <f t="shared" si="4"/>
        <v>1.3520000000000001</v>
      </c>
      <c r="G19" s="76">
        <f>INDEX(tariffs!5:5, MATCH(CHECK!$B$3,tariffs!$1:$1, 0))</f>
        <v>44.12</v>
      </c>
      <c r="H19" s="108">
        <f t="shared" si="1"/>
        <v>59.650240000000004</v>
      </c>
      <c r="I19" s="36">
        <f t="shared" si="5"/>
        <v>0</v>
      </c>
      <c r="J19" s="37">
        <f t="shared" si="5"/>
        <v>0</v>
      </c>
      <c r="K19" s="38">
        <f t="shared" si="6"/>
        <v>0</v>
      </c>
      <c r="L19" s="3" t="str">
        <f t="shared" si="2"/>
        <v>✔ ОК</v>
      </c>
      <c r="M19" s="42">
        <f>IFERROR(INDEX(tariffs!21:21, MATCH(CHECK!$B$3, tariffs!$1:$1, 0)),"")</f>
        <v>1.358196</v>
      </c>
      <c r="N19" s="10" t="str">
        <f>VLOOKUP(A19,info!A23:B39, 2,FALSE)</f>
        <v>Управляющая</v>
      </c>
    </row>
    <row r="20" spans="1:14" ht="29.5" thickBot="1" x14ac:dyDescent="0.4">
      <c r="A20" s="21" t="s">
        <v>128</v>
      </c>
      <c r="B20" s="23" t="s">
        <v>45</v>
      </c>
      <c r="C20" s="93">
        <v>32.22</v>
      </c>
      <c r="D20" s="103">
        <v>4.2</v>
      </c>
      <c r="E20" s="109">
        <v>135.32400000000001</v>
      </c>
      <c r="F20" s="76">
        <f t="shared" si="4"/>
        <v>32.22</v>
      </c>
      <c r="G20" s="76">
        <f>INDEX(tariffs!2:2, MATCH(CHECK!$B$3,tariffs!$1:$1, 0))</f>
        <v>4.2</v>
      </c>
      <c r="H20" s="108">
        <f t="shared" si="1"/>
        <v>135.32400000000001</v>
      </c>
      <c r="I20" s="36">
        <f t="shared" si="5"/>
        <v>0</v>
      </c>
      <c r="J20" s="37">
        <f t="shared" si="5"/>
        <v>0</v>
      </c>
      <c r="K20" s="38">
        <f t="shared" si="6"/>
        <v>0</v>
      </c>
      <c r="L20" s="3" t="str">
        <f t="shared" si="2"/>
        <v>✔ ОК</v>
      </c>
      <c r="M20" s="42">
        <f>IFERROR(INDEX(tariffs!19:19, MATCH(CHECK!$B$3, tariffs!$1:$1, 0)),"")</f>
        <v>26.829499999999999</v>
      </c>
      <c r="N20" s="10" t="str">
        <f>VLOOKUP(A20,info!A24:B40, 2,FALSE)</f>
        <v>Управляющая</v>
      </c>
    </row>
    <row r="21" spans="1:14" ht="15" thickBot="1" x14ac:dyDescent="0.4">
      <c r="A21" s="21" t="s">
        <v>135</v>
      </c>
      <c r="B21" s="23" t="s">
        <v>47</v>
      </c>
      <c r="C21" s="93">
        <v>55.2</v>
      </c>
      <c r="D21" s="103">
        <v>11.08</v>
      </c>
      <c r="E21" s="109">
        <v>611.61599999999999</v>
      </c>
      <c r="F21" s="96">
        <f>IFERROR(info!$B$7,"")</f>
        <v>55.2</v>
      </c>
      <c r="G21" s="76">
        <f>INDEX(tariffs!8:8, MATCH(CHECK!$B$3,tariffs!$1:$1, 0))</f>
        <v>11.08</v>
      </c>
      <c r="H21" s="108">
        <f t="shared" si="1"/>
        <v>611.61599999999999</v>
      </c>
      <c r="I21" s="36">
        <f t="shared" si="5"/>
        <v>0</v>
      </c>
      <c r="J21" s="37">
        <f t="shared" si="5"/>
        <v>0</v>
      </c>
      <c r="K21" s="38">
        <f t="shared" si="6"/>
        <v>0</v>
      </c>
      <c r="L21" s="3" t="str">
        <f t="shared" si="2"/>
        <v>✔ ОК</v>
      </c>
      <c r="M21" s="39"/>
      <c r="N21" s="10" t="str">
        <f>VLOOKUP(A21,info!A25:B41, 2,FALSE)</f>
        <v>Управляющая</v>
      </c>
    </row>
    <row r="22" spans="1:14" ht="29.5" thickBot="1" x14ac:dyDescent="0.4">
      <c r="A22" s="21" t="s">
        <v>21</v>
      </c>
      <c r="B22" s="23" t="s">
        <v>47</v>
      </c>
      <c r="C22" s="93">
        <v>55.2</v>
      </c>
      <c r="D22" s="103">
        <v>5.98</v>
      </c>
      <c r="E22" s="109">
        <v>330.09600000000006</v>
      </c>
      <c r="F22" s="96">
        <f>IFERROR(info!$B$7,"")</f>
        <v>55.2</v>
      </c>
      <c r="G22" s="76">
        <f>INDEX(tariffs!9:9, MATCH(CHECK!$B$3,tariffs!$1:$1, 0))</f>
        <v>5.98</v>
      </c>
      <c r="H22" s="108">
        <f t="shared" si="1"/>
        <v>330.09600000000006</v>
      </c>
      <c r="I22" s="36">
        <f t="shared" si="5"/>
        <v>0</v>
      </c>
      <c r="J22" s="37">
        <f t="shared" si="5"/>
        <v>0</v>
      </c>
      <c r="K22" s="38">
        <f t="shared" si="6"/>
        <v>0</v>
      </c>
      <c r="L22" s="3" t="str">
        <f t="shared" si="2"/>
        <v>✔ ОК</v>
      </c>
      <c r="M22" s="39"/>
      <c r="N22" s="10" t="str">
        <f>VLOOKUP(A22,info!A26:B42, 2,FALSE)</f>
        <v>Управляющая</v>
      </c>
    </row>
    <row r="23" spans="1:14" ht="15" thickBot="1" x14ac:dyDescent="0.4">
      <c r="A23" s="21" t="s">
        <v>132</v>
      </c>
      <c r="B23" s="23" t="s">
        <v>49</v>
      </c>
      <c r="C23" s="93">
        <v>2</v>
      </c>
      <c r="D23" s="103">
        <v>161.52260000000001</v>
      </c>
      <c r="E23" s="109">
        <v>323.04520000000002</v>
      </c>
      <c r="F23" s="97">
        <f>IFERROR(info!$B$6,"")</f>
        <v>2</v>
      </c>
      <c r="G23" s="76">
        <f>IF(D23&lt;M23, D23,M23)</f>
        <v>161.52257251624999</v>
      </c>
      <c r="H23" s="108">
        <f t="shared" si="1"/>
        <v>323.04514503249999</v>
      </c>
      <c r="I23" s="36">
        <f t="shared" si="5"/>
        <v>0</v>
      </c>
      <c r="J23" s="37">
        <f t="shared" si="5"/>
        <v>-2.7483750017154307E-5</v>
      </c>
      <c r="K23" s="38">
        <f t="shared" si="6"/>
        <v>5.4967500034308614E-5</v>
      </c>
      <c r="L23" s="3" t="str">
        <f t="shared" si="2"/>
        <v>✔ ОК</v>
      </c>
      <c r="M23" s="39">
        <f>IFERROR(INDEX(tariffs!10:10, MATCH(CHECK!$B$3, tariffs!$1:$1, 0)),"")</f>
        <v>161.52257251624999</v>
      </c>
      <c r="N23" s="10" t="str">
        <f>VLOOKUP(A23,info!A27:B43, 2,FALSE)</f>
        <v>ТКО</v>
      </c>
    </row>
    <row r="24" spans="1:14" ht="15" thickBot="1" x14ac:dyDescent="0.4">
      <c r="A24" s="21" t="s">
        <v>34</v>
      </c>
      <c r="B24" s="23" t="s">
        <v>47</v>
      </c>
      <c r="C24" s="106">
        <v>55.2</v>
      </c>
      <c r="D24" s="105">
        <v>15.15</v>
      </c>
      <c r="E24" s="110">
        <v>836.28000000000009</v>
      </c>
      <c r="F24" s="96">
        <f>IFERROR(info!$B$7,"")</f>
        <v>55.2</v>
      </c>
      <c r="G24" s="76">
        <f>INDEX(tariffs!11:11, MATCH(CHECK!$B$3,tariffs!$1:$1, 0))</f>
        <v>15.15</v>
      </c>
      <c r="H24" s="108">
        <f t="shared" si="1"/>
        <v>836.28000000000009</v>
      </c>
      <c r="I24" s="36">
        <f t="shared" si="5"/>
        <v>0</v>
      </c>
      <c r="J24" s="37">
        <f t="shared" si="5"/>
        <v>0</v>
      </c>
      <c r="K24" s="38">
        <f t="shared" si="6"/>
        <v>0</v>
      </c>
      <c r="L24" s="3" t="str">
        <f t="shared" si="2"/>
        <v>✔ ОК</v>
      </c>
      <c r="M24" s="39"/>
      <c r="N24" s="10" t="str">
        <f>VLOOKUP(A24,info!A28:B44, 2,FALSE)</f>
        <v>Капремонт</v>
      </c>
    </row>
    <row r="25" spans="1:14" ht="15" thickBot="1" x14ac:dyDescent="0.4">
      <c r="A25" s="11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</row>
    <row r="26" spans="1:14" s="5" customFormat="1" ht="15" thickBot="1" x14ac:dyDescent="0.4">
      <c r="A26" s="46" t="s">
        <v>50</v>
      </c>
      <c r="B26" s="35"/>
      <c r="C26" s="41"/>
      <c r="D26" s="41"/>
      <c r="E26" s="41">
        <f>SUM(E9:E24)</f>
        <v>19950.641089999994</v>
      </c>
      <c r="F26" s="41"/>
      <c r="G26" s="41"/>
      <c r="H26" s="41"/>
      <c r="I26" s="41"/>
      <c r="J26" s="41"/>
      <c r="K26" s="41">
        <f>SUM(K9:K24)</f>
        <v>5.4967500062730323E-5</v>
      </c>
      <c r="L26" s="41"/>
      <c r="M26" s="41"/>
      <c r="N26" s="35"/>
    </row>
    <row r="27" spans="1:14" s="50" customFormat="1" ht="29.5" thickBot="1" x14ac:dyDescent="0.4">
      <c r="A27" s="47" t="s">
        <v>51</v>
      </c>
      <c r="B27" s="48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8"/>
    </row>
    <row r="28" spans="1:14" s="5" customFormat="1" ht="15" thickBot="1" x14ac:dyDescent="0.4">
      <c r="A28" s="46" t="s">
        <v>148</v>
      </c>
      <c r="B28" s="35"/>
      <c r="C28" s="41"/>
      <c r="D28" s="41"/>
      <c r="E28" s="41">
        <f>SUMIF($N:$N,$A28,E:E)</f>
        <v>844.2</v>
      </c>
      <c r="F28" s="41"/>
      <c r="G28" s="41"/>
      <c r="H28" s="41"/>
      <c r="I28" s="41"/>
      <c r="J28" s="41"/>
      <c r="K28" s="41">
        <f>SUMIF($N:$N,$A28,K:K)</f>
        <v>0</v>
      </c>
      <c r="L28" s="41"/>
      <c r="M28" s="41"/>
      <c r="N28" s="35"/>
    </row>
    <row r="29" spans="1:14" s="5" customFormat="1" ht="15" thickBot="1" x14ac:dyDescent="0.4">
      <c r="A29" s="46" t="s">
        <v>149</v>
      </c>
      <c r="B29" s="35"/>
      <c r="C29" s="41"/>
      <c r="D29" s="41"/>
      <c r="E29" s="41">
        <f>SUMIF($N:$N,$A29,E:E)</f>
        <v>835.38</v>
      </c>
      <c r="F29" s="41"/>
      <c r="G29" s="41"/>
      <c r="H29" s="41"/>
      <c r="I29" s="41"/>
      <c r="J29" s="41"/>
      <c r="K29" s="41">
        <f>SUMIF($N:$N,$A29,K:K)</f>
        <v>2.8421709430404007E-14</v>
      </c>
      <c r="L29" s="41"/>
      <c r="M29" s="41"/>
      <c r="N29" s="35"/>
    </row>
    <row r="30" spans="1:14" s="5" customFormat="1" ht="15" thickBot="1" x14ac:dyDescent="0.4">
      <c r="A30" s="46" t="s">
        <v>142</v>
      </c>
      <c r="B30" s="35"/>
      <c r="C30" s="41"/>
      <c r="D30" s="41"/>
      <c r="E30" s="41">
        <f>SUMIF($N:$N,$A30,E:E)</f>
        <v>17111.73589</v>
      </c>
      <c r="F30" s="41"/>
      <c r="G30" s="41"/>
      <c r="H30" s="41"/>
      <c r="I30" s="41"/>
      <c r="J30" s="41"/>
      <c r="K30" s="41">
        <f>SUMIF($N:$N,$A30,K:K)</f>
        <v>0</v>
      </c>
      <c r="L30" s="41"/>
      <c r="M30" s="41"/>
      <c r="N30" s="35"/>
    </row>
    <row r="31" spans="1:14" s="5" customFormat="1" ht="15" thickBot="1" x14ac:dyDescent="0.4">
      <c r="A31" s="46" t="s">
        <v>143</v>
      </c>
      <c r="B31" s="35"/>
      <c r="C31" s="41"/>
      <c r="D31" s="41"/>
      <c r="E31" s="41">
        <f>SUMIF($N:$N,$A31,E:E)</f>
        <v>323.04520000000002</v>
      </c>
      <c r="F31" s="41"/>
      <c r="G31" s="41"/>
      <c r="H31" s="41"/>
      <c r="I31" s="41"/>
      <c r="J31" s="41"/>
      <c r="K31" s="41">
        <f>SUMIF($N:$N,$A31,K:K)</f>
        <v>5.4967500034308614E-5</v>
      </c>
      <c r="L31" s="41"/>
      <c r="M31" s="41"/>
      <c r="N31" s="35"/>
    </row>
    <row r="32" spans="1:14" s="5" customFormat="1" ht="15" thickBot="1" x14ac:dyDescent="0.4">
      <c r="A32" s="46" t="s">
        <v>34</v>
      </c>
      <c r="B32" s="35"/>
      <c r="C32" s="41"/>
      <c r="D32" s="41"/>
      <c r="E32" s="41">
        <f>SUMIF($N:$N,$A32,E:E)</f>
        <v>836.28000000000009</v>
      </c>
      <c r="F32" s="41"/>
      <c r="G32" s="41"/>
      <c r="H32" s="41"/>
      <c r="I32" s="41"/>
      <c r="J32" s="41"/>
      <c r="K32" s="41">
        <f>SUMIF($N:$N,$A32,K:K)</f>
        <v>0</v>
      </c>
      <c r="L32" s="41"/>
      <c r="M32" s="41"/>
      <c r="N32" s="35"/>
    </row>
  </sheetData>
  <mergeCells count="3">
    <mergeCell ref="C7:E7"/>
    <mergeCell ref="F7:H7"/>
    <mergeCell ref="I7:K7"/>
  </mergeCells>
  <dataValidations count="1">
    <dataValidation allowBlank="1" showInputMessage="1" showErrorMessage="1" sqref="C9:D9" xr:uid="{EEAF0B01-A716-45A5-80B9-6D59D6176D06}"/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E04C081-2925-4DDE-9260-64EC5751E787}">
          <x14:formula1>
            <xm:f>helper!$E$2:$E$10</xm:f>
          </x14:formula1>
          <xm:sqref>A28:A32</xm:sqref>
        </x14:dataValidation>
        <x14:dataValidation type="list" allowBlank="1" showInputMessage="1" showErrorMessage="1" xr:uid="{B36B768B-FEB0-40B2-85F8-0293102B9A5E}">
          <x14:formula1>
            <xm:f>helper!$F$2:$F$166</xm:f>
          </x14:formula1>
          <xm:sqref>B3</xm:sqref>
        </x14:dataValidation>
        <x14:dataValidation type="list" allowBlank="1" showInputMessage="1" showErrorMessage="1" xr:uid="{0CF4FF65-BF56-4EDB-AFA6-DE4A85331AA5}">
          <x14:formula1>
            <xm:f>helper!$D$2:$D$12</xm:f>
          </x14:formula1>
          <xm:sqref>B9:B24</xm:sqref>
        </x14:dataValidation>
        <x14:dataValidation type="list" allowBlank="1" showInputMessage="1" showErrorMessage="1" xr:uid="{C4560D03-9934-467A-B9F8-8CE51D2A0C46}">
          <x14:formula1>
            <xm:f>helper!$B$2:$B$20</xm:f>
          </x14:formula1>
          <xm:sqref>A9:A24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E1766-1238-4908-B3A6-DE8C06043F20}">
  <dimension ref="A1:AB126"/>
  <sheetViews>
    <sheetView workbookViewId="0">
      <selection activeCell="C37" sqref="C37"/>
    </sheetView>
  </sheetViews>
  <sheetFormatPr defaultRowHeight="14.5" x14ac:dyDescent="0.35"/>
  <cols>
    <col min="2" max="2" width="22.7265625" customWidth="1"/>
    <col min="3" max="4" width="12.26953125" style="54" customWidth="1"/>
    <col min="5" max="5" width="12.26953125" style="56" customWidth="1"/>
    <col min="6" max="6" width="12.26953125" style="55" customWidth="1"/>
    <col min="7" max="8" width="9.90625" style="56" bestFit="1" customWidth="1"/>
    <col min="9" max="9" width="9.90625" style="56" customWidth="1"/>
    <col min="10" max="10" width="9.90625" style="56" bestFit="1" customWidth="1"/>
    <col min="11" max="11" width="26.08984375" style="55" customWidth="1"/>
    <col min="12" max="19" width="9.90625" bestFit="1" customWidth="1"/>
    <col min="20" max="20" width="10.453125" bestFit="1" customWidth="1"/>
    <col min="21" max="25" width="10.08984375" hidden="1" customWidth="1"/>
    <col min="26" max="26" width="12.26953125" hidden="1" customWidth="1"/>
    <col min="27" max="28" width="11.36328125" hidden="1" customWidth="1"/>
    <col min="29" max="29" width="6.81640625" bestFit="1" customWidth="1"/>
    <col min="30" max="30" width="5.81640625" bestFit="1" customWidth="1"/>
    <col min="31" max="33" width="6.81640625" bestFit="1" customWidth="1"/>
    <col min="34" max="35" width="8" bestFit="1" customWidth="1"/>
    <col min="36" max="36" width="6.81640625" bestFit="1" customWidth="1"/>
    <col min="37" max="37" width="8" bestFit="1" customWidth="1"/>
    <col min="38" max="38" width="12.26953125" bestFit="1" customWidth="1"/>
    <col min="39" max="40" width="8" bestFit="1" customWidth="1"/>
    <col min="41" max="41" width="12.26953125" bestFit="1" customWidth="1"/>
    <col min="42" max="43" width="8" bestFit="1" customWidth="1"/>
    <col min="44" max="44" width="9" bestFit="1" customWidth="1"/>
    <col min="45" max="47" width="8" bestFit="1" customWidth="1"/>
    <col min="48" max="48" width="12.26953125" bestFit="1" customWidth="1"/>
    <col min="49" max="50" width="9" bestFit="1" customWidth="1"/>
    <col min="51" max="51" width="12.26953125" bestFit="1" customWidth="1"/>
    <col min="52" max="52" width="11.1796875" bestFit="1" customWidth="1"/>
    <col min="53" max="59" width="12.26953125" bestFit="1" customWidth="1"/>
    <col min="60" max="60" width="11.1796875" bestFit="1" customWidth="1"/>
    <col min="61" max="61" width="12.26953125" bestFit="1" customWidth="1"/>
    <col min="62" max="62" width="11.1796875" bestFit="1" customWidth="1"/>
    <col min="63" max="63" width="7.54296875" bestFit="1" customWidth="1"/>
    <col min="64" max="69" width="8.7265625" bestFit="1" customWidth="1"/>
    <col min="70" max="70" width="20.54296875" bestFit="1" customWidth="1"/>
    <col min="71" max="71" width="23.7265625" bestFit="1" customWidth="1"/>
    <col min="72" max="74" width="12.26953125" bestFit="1" customWidth="1"/>
    <col min="75" max="75" width="26.36328125" bestFit="1" customWidth="1"/>
    <col min="76" max="76" width="11.1796875" bestFit="1" customWidth="1"/>
  </cols>
  <sheetData>
    <row r="1" spans="1:28" x14ac:dyDescent="0.35">
      <c r="B1" s="2"/>
      <c r="C1" s="2"/>
      <c r="D1" s="2"/>
      <c r="E1" s="2"/>
      <c r="F1" s="2"/>
      <c r="G1" s="2"/>
      <c r="H1" s="2"/>
      <c r="I1" s="2"/>
      <c r="J1" s="2"/>
      <c r="K1" s="91"/>
      <c r="L1" s="91"/>
      <c r="M1" s="91"/>
      <c r="N1" s="91"/>
      <c r="O1" s="91"/>
    </row>
    <row r="2" spans="1:28" s="11" customFormat="1" ht="29" x14ac:dyDescent="0.35">
      <c r="A2" s="51" t="s">
        <v>58</v>
      </c>
      <c r="B2" s="60" t="s">
        <v>53</v>
      </c>
      <c r="C2" s="61" t="s">
        <v>54</v>
      </c>
      <c r="D2" s="62" t="s">
        <v>55</v>
      </c>
      <c r="E2" s="61" t="s">
        <v>117</v>
      </c>
      <c r="F2" s="61" t="s">
        <v>56</v>
      </c>
      <c r="H2" s="58"/>
      <c r="I2" s="58"/>
      <c r="J2" s="58"/>
      <c r="P2"/>
      <c r="Q2"/>
      <c r="V2" s="59" t="s">
        <v>119</v>
      </c>
      <c r="W2" s="57"/>
      <c r="X2"/>
      <c r="Y2"/>
      <c r="AA2" s="51" t="s">
        <v>58</v>
      </c>
      <c r="AB2" t="s">
        <v>126</v>
      </c>
    </row>
    <row r="3" spans="1:28" x14ac:dyDescent="0.35">
      <c r="A3" t="s">
        <v>126</v>
      </c>
      <c r="E3" s="54">
        <v>0</v>
      </c>
      <c r="U3" s="11"/>
      <c r="V3" t="s">
        <v>126</v>
      </c>
    </row>
    <row r="4" spans="1:28" x14ac:dyDescent="0.35">
      <c r="B4" t="s">
        <v>126</v>
      </c>
      <c r="E4" s="54">
        <v>0</v>
      </c>
      <c r="U4" s="51" t="s">
        <v>125</v>
      </c>
      <c r="V4" t="s">
        <v>54</v>
      </c>
      <c r="W4" t="s">
        <v>55</v>
      </c>
      <c r="AA4" s="51" t="s">
        <v>124</v>
      </c>
      <c r="AB4" t="s">
        <v>123</v>
      </c>
    </row>
    <row r="5" spans="1:28" x14ac:dyDescent="0.35">
      <c r="A5" t="s">
        <v>57</v>
      </c>
      <c r="E5" s="54">
        <v>0</v>
      </c>
      <c r="U5" s="17" t="s">
        <v>126</v>
      </c>
      <c r="AA5" s="17" t="s">
        <v>126</v>
      </c>
      <c r="AB5" s="54"/>
    </row>
    <row r="6" spans="1:28" x14ac:dyDescent="0.35">
      <c r="C6"/>
      <c r="D6"/>
      <c r="E6"/>
      <c r="F6"/>
      <c r="G6"/>
      <c r="U6" s="17" t="s">
        <v>57</v>
      </c>
      <c r="AA6" s="17" t="s">
        <v>57</v>
      </c>
      <c r="AB6" s="54"/>
    </row>
    <row r="7" spans="1:28" x14ac:dyDescent="0.35">
      <c r="C7"/>
      <c r="D7"/>
      <c r="E7"/>
      <c r="F7"/>
      <c r="G7"/>
    </row>
    <row r="8" spans="1:28" x14ac:dyDescent="0.35">
      <c r="C8"/>
      <c r="D8"/>
      <c r="E8"/>
      <c r="F8"/>
      <c r="G8"/>
    </row>
    <row r="9" spans="1:28" x14ac:dyDescent="0.35">
      <c r="C9"/>
      <c r="D9"/>
      <c r="E9"/>
      <c r="F9"/>
      <c r="G9"/>
    </row>
    <row r="10" spans="1:28" x14ac:dyDescent="0.35">
      <c r="C10"/>
      <c r="D10"/>
      <c r="E10"/>
      <c r="F10"/>
      <c r="G10"/>
    </row>
    <row r="11" spans="1:28" x14ac:dyDescent="0.35">
      <c r="C11"/>
      <c r="D11"/>
      <c r="E11"/>
      <c r="F11"/>
      <c r="G11"/>
      <c r="K11"/>
    </row>
    <row r="12" spans="1:28" x14ac:dyDescent="0.35">
      <c r="C12"/>
      <c r="D12"/>
      <c r="E12"/>
      <c r="F12"/>
      <c r="G12"/>
      <c r="K12"/>
    </row>
    <row r="13" spans="1:28" x14ac:dyDescent="0.35">
      <c r="C13"/>
      <c r="D13"/>
      <c r="E13"/>
      <c r="F13"/>
      <c r="G13"/>
      <c r="K13"/>
    </row>
    <row r="14" spans="1:28" x14ac:dyDescent="0.35">
      <c r="C14"/>
      <c r="D14"/>
      <c r="E14"/>
      <c r="F14"/>
      <c r="G14"/>
      <c r="K14"/>
    </row>
    <row r="15" spans="1:28" x14ac:dyDescent="0.35">
      <c r="C15"/>
      <c r="D15"/>
      <c r="E15"/>
      <c r="F15"/>
      <c r="G15"/>
      <c r="K15"/>
    </row>
    <row r="16" spans="1:28" x14ac:dyDescent="0.35">
      <c r="C16"/>
      <c r="D16"/>
      <c r="E16"/>
      <c r="F16"/>
      <c r="G16"/>
      <c r="K16"/>
    </row>
    <row r="17" spans="2:11" x14ac:dyDescent="0.35">
      <c r="C17"/>
      <c r="D17"/>
      <c r="E17"/>
      <c r="F17"/>
      <c r="G17"/>
      <c r="K17"/>
    </row>
    <row r="18" spans="2:11" x14ac:dyDescent="0.35">
      <c r="C18"/>
      <c r="D18"/>
      <c r="E18"/>
      <c r="F18"/>
      <c r="G18"/>
      <c r="J18"/>
      <c r="K18"/>
    </row>
    <row r="19" spans="2:11" x14ac:dyDescent="0.35">
      <c r="C19"/>
      <c r="D19"/>
      <c r="E19"/>
      <c r="F19"/>
      <c r="G19"/>
      <c r="J19"/>
      <c r="K19"/>
    </row>
    <row r="20" spans="2:11" x14ac:dyDescent="0.35">
      <c r="C20"/>
      <c r="D20"/>
      <c r="E20"/>
      <c r="F20"/>
      <c r="G20"/>
      <c r="J20"/>
      <c r="K20"/>
    </row>
    <row r="21" spans="2:11" x14ac:dyDescent="0.35">
      <c r="C21"/>
      <c r="D21"/>
      <c r="E21"/>
      <c r="F21"/>
      <c r="G21"/>
      <c r="J21"/>
      <c r="K21"/>
    </row>
    <row r="22" spans="2:11" x14ac:dyDescent="0.35">
      <c r="G22"/>
      <c r="H22"/>
      <c r="I22"/>
      <c r="J22"/>
      <c r="K22"/>
    </row>
    <row r="23" spans="2:11" x14ac:dyDescent="0.35">
      <c r="G23"/>
      <c r="H23"/>
      <c r="I23"/>
      <c r="J23"/>
      <c r="K23"/>
    </row>
    <row r="24" spans="2:11" x14ac:dyDescent="0.35">
      <c r="G24"/>
      <c r="H24"/>
      <c r="I24"/>
      <c r="J24"/>
      <c r="K24"/>
    </row>
    <row r="25" spans="2:11" x14ac:dyDescent="0.35">
      <c r="G25"/>
      <c r="H25"/>
      <c r="I25"/>
      <c r="J25"/>
      <c r="K25"/>
    </row>
    <row r="26" spans="2:11" ht="16" x14ac:dyDescent="0.4">
      <c r="B26" s="92" t="s">
        <v>120</v>
      </c>
      <c r="C26" s="92"/>
      <c r="D26" s="92"/>
      <c r="E26" s="92"/>
      <c r="F26" s="92"/>
      <c r="G26"/>
      <c r="H26"/>
      <c r="I26"/>
      <c r="J26"/>
      <c r="K26"/>
    </row>
    <row r="27" spans="2:11" ht="29" x14ac:dyDescent="0.35">
      <c r="B27" s="60" t="s">
        <v>118</v>
      </c>
      <c r="C27" s="61" t="s">
        <v>54</v>
      </c>
      <c r="D27" s="61" t="s">
        <v>55</v>
      </c>
      <c r="E27" s="61" t="s">
        <v>117</v>
      </c>
      <c r="F27" s="61" t="s">
        <v>56</v>
      </c>
      <c r="G27"/>
      <c r="H27"/>
      <c r="I27"/>
      <c r="J27"/>
      <c r="K27"/>
    </row>
    <row r="28" spans="2:11" x14ac:dyDescent="0.35">
      <c r="B28" s="17" t="s">
        <v>126</v>
      </c>
      <c r="E28" s="54">
        <v>0</v>
      </c>
      <c r="G28"/>
      <c r="H28"/>
      <c r="I28"/>
      <c r="J28"/>
      <c r="K28"/>
    </row>
    <row r="29" spans="2:11" x14ac:dyDescent="0.35">
      <c r="B29" s="63" t="s">
        <v>126</v>
      </c>
      <c r="E29" s="54">
        <v>0</v>
      </c>
      <c r="G29"/>
      <c r="H29"/>
      <c r="I29"/>
      <c r="J29"/>
      <c r="K29"/>
    </row>
    <row r="30" spans="2:11" x14ac:dyDescent="0.35">
      <c r="B30" s="64" t="s">
        <v>126</v>
      </c>
      <c r="E30" s="54">
        <v>0</v>
      </c>
      <c r="J30"/>
      <c r="K30"/>
    </row>
    <row r="31" spans="2:11" x14ac:dyDescent="0.35">
      <c r="B31" s="17" t="s">
        <v>57</v>
      </c>
      <c r="E31" s="54">
        <v>0</v>
      </c>
      <c r="J31"/>
      <c r="K31"/>
    </row>
    <row r="32" spans="2:11" x14ac:dyDescent="0.35">
      <c r="C32"/>
      <c r="D32"/>
      <c r="E32"/>
      <c r="F32"/>
      <c r="J32"/>
      <c r="K32"/>
    </row>
    <row r="33" spans="3:11" x14ac:dyDescent="0.35">
      <c r="C33"/>
      <c r="D33"/>
      <c r="E33"/>
      <c r="F33"/>
      <c r="J33"/>
      <c r="K33"/>
    </row>
    <row r="34" spans="3:11" x14ac:dyDescent="0.35">
      <c r="C34"/>
      <c r="D34"/>
      <c r="E34"/>
      <c r="F34"/>
      <c r="J34"/>
      <c r="K34"/>
    </row>
    <row r="35" spans="3:11" x14ac:dyDescent="0.35">
      <c r="C35"/>
      <c r="D35"/>
      <c r="E35"/>
      <c r="F35"/>
    </row>
    <row r="36" spans="3:11" x14ac:dyDescent="0.35">
      <c r="C36"/>
      <c r="D36"/>
      <c r="E36"/>
      <c r="F36"/>
    </row>
    <row r="37" spans="3:11" x14ac:dyDescent="0.35">
      <c r="C37"/>
      <c r="D37"/>
      <c r="E37"/>
      <c r="F37"/>
    </row>
    <row r="38" spans="3:11" x14ac:dyDescent="0.35">
      <c r="C38"/>
      <c r="D38"/>
      <c r="E38"/>
      <c r="F38"/>
    </row>
    <row r="39" spans="3:11" x14ac:dyDescent="0.35">
      <c r="C39"/>
      <c r="D39"/>
      <c r="E39"/>
      <c r="F39"/>
    </row>
    <row r="40" spans="3:11" x14ac:dyDescent="0.35">
      <c r="C40"/>
      <c r="D40"/>
      <c r="E40"/>
      <c r="F40"/>
    </row>
    <row r="41" spans="3:11" x14ac:dyDescent="0.35">
      <c r="C41"/>
      <c r="D41"/>
      <c r="E41"/>
      <c r="F41"/>
    </row>
    <row r="42" spans="3:11" x14ac:dyDescent="0.35">
      <c r="C42"/>
      <c r="D42"/>
      <c r="E42"/>
      <c r="F42"/>
    </row>
    <row r="43" spans="3:11" x14ac:dyDescent="0.35">
      <c r="C43"/>
      <c r="D43"/>
      <c r="E43"/>
      <c r="F43"/>
    </row>
    <row r="44" spans="3:11" x14ac:dyDescent="0.35">
      <c r="C44"/>
      <c r="D44"/>
      <c r="E44"/>
      <c r="F44"/>
    </row>
    <row r="45" spans="3:11" x14ac:dyDescent="0.35">
      <c r="C45"/>
      <c r="D45"/>
      <c r="E45"/>
      <c r="F45"/>
    </row>
    <row r="46" spans="3:11" x14ac:dyDescent="0.35">
      <c r="C46"/>
      <c r="D46"/>
      <c r="E46"/>
      <c r="F46"/>
    </row>
    <row r="47" spans="3:11" x14ac:dyDescent="0.35">
      <c r="C47"/>
      <c r="D47"/>
      <c r="E47"/>
      <c r="F47"/>
    </row>
    <row r="48" spans="3:11" x14ac:dyDescent="0.35">
      <c r="C48"/>
      <c r="D48"/>
      <c r="E48"/>
      <c r="F48"/>
    </row>
    <row r="49" spans="3:6" x14ac:dyDescent="0.35">
      <c r="C49"/>
      <c r="D49"/>
      <c r="E49"/>
      <c r="F49"/>
    </row>
    <row r="50" spans="3:6" x14ac:dyDescent="0.35">
      <c r="C50"/>
      <c r="D50"/>
      <c r="E50"/>
      <c r="F50"/>
    </row>
    <row r="51" spans="3:6" x14ac:dyDescent="0.35">
      <c r="C51"/>
      <c r="D51"/>
      <c r="E51"/>
      <c r="F51"/>
    </row>
    <row r="52" spans="3:6" x14ac:dyDescent="0.35">
      <c r="C52"/>
      <c r="D52"/>
      <c r="E52"/>
      <c r="F52"/>
    </row>
    <row r="53" spans="3:6" x14ac:dyDescent="0.35">
      <c r="C53"/>
      <c r="D53"/>
      <c r="E53"/>
      <c r="F53"/>
    </row>
    <row r="54" spans="3:6" x14ac:dyDescent="0.35">
      <c r="C54"/>
      <c r="D54"/>
      <c r="E54"/>
      <c r="F54"/>
    </row>
    <row r="55" spans="3:6" x14ac:dyDescent="0.35">
      <c r="C55"/>
      <c r="D55"/>
      <c r="E55"/>
      <c r="F55"/>
    </row>
    <row r="56" spans="3:6" x14ac:dyDescent="0.35">
      <c r="C56"/>
      <c r="D56"/>
      <c r="E56"/>
      <c r="F56"/>
    </row>
    <row r="57" spans="3:6" x14ac:dyDescent="0.35">
      <c r="C57"/>
      <c r="D57"/>
      <c r="E57"/>
      <c r="F57"/>
    </row>
    <row r="58" spans="3:6" x14ac:dyDescent="0.35">
      <c r="C58"/>
      <c r="D58"/>
      <c r="E58"/>
      <c r="F58"/>
    </row>
    <row r="59" spans="3:6" x14ac:dyDescent="0.35">
      <c r="C59"/>
      <c r="D59"/>
      <c r="E59"/>
      <c r="F59"/>
    </row>
    <row r="60" spans="3:6" x14ac:dyDescent="0.35">
      <c r="C60"/>
      <c r="D60"/>
      <c r="E60"/>
      <c r="F60"/>
    </row>
    <row r="61" spans="3:6" x14ac:dyDescent="0.35">
      <c r="C61"/>
      <c r="D61"/>
      <c r="E61"/>
      <c r="F61"/>
    </row>
    <row r="62" spans="3:6" x14ac:dyDescent="0.35">
      <c r="C62"/>
      <c r="D62"/>
      <c r="E62"/>
      <c r="F62"/>
    </row>
    <row r="63" spans="3:6" x14ac:dyDescent="0.35">
      <c r="C63"/>
      <c r="D63"/>
      <c r="E63"/>
      <c r="F63"/>
    </row>
    <row r="64" spans="3:6" x14ac:dyDescent="0.35">
      <c r="C64"/>
      <c r="D64"/>
      <c r="E64"/>
      <c r="F64"/>
    </row>
    <row r="65" spans="3:6" x14ac:dyDescent="0.35">
      <c r="C65"/>
      <c r="D65"/>
      <c r="E65"/>
      <c r="F65"/>
    </row>
    <row r="66" spans="3:6" x14ac:dyDescent="0.35">
      <c r="C66"/>
      <c r="D66"/>
      <c r="E66"/>
      <c r="F66"/>
    </row>
    <row r="67" spans="3:6" x14ac:dyDescent="0.35">
      <c r="C67"/>
      <c r="D67"/>
      <c r="E67"/>
      <c r="F67"/>
    </row>
    <row r="68" spans="3:6" x14ac:dyDescent="0.35">
      <c r="C68"/>
      <c r="D68"/>
      <c r="E68"/>
      <c r="F68"/>
    </row>
    <row r="69" spans="3:6" x14ac:dyDescent="0.35">
      <c r="C69"/>
      <c r="D69"/>
      <c r="E69"/>
      <c r="F69"/>
    </row>
    <row r="70" spans="3:6" x14ac:dyDescent="0.35">
      <c r="C70"/>
      <c r="D70"/>
      <c r="E70"/>
      <c r="F70"/>
    </row>
    <row r="71" spans="3:6" x14ac:dyDescent="0.35">
      <c r="C71"/>
      <c r="D71"/>
      <c r="E71"/>
      <c r="F71"/>
    </row>
    <row r="72" spans="3:6" x14ac:dyDescent="0.35">
      <c r="C72"/>
      <c r="D72"/>
      <c r="E72"/>
      <c r="F72"/>
    </row>
    <row r="73" spans="3:6" x14ac:dyDescent="0.35">
      <c r="C73"/>
      <c r="D73"/>
      <c r="E73"/>
      <c r="F73"/>
    </row>
    <row r="74" spans="3:6" x14ac:dyDescent="0.35">
      <c r="C74"/>
      <c r="D74"/>
      <c r="E74"/>
      <c r="F74"/>
    </row>
    <row r="75" spans="3:6" x14ac:dyDescent="0.35">
      <c r="C75"/>
      <c r="D75"/>
      <c r="E75"/>
      <c r="F75"/>
    </row>
    <row r="76" spans="3:6" x14ac:dyDescent="0.35">
      <c r="C76"/>
      <c r="D76"/>
      <c r="E76"/>
      <c r="F76"/>
    </row>
    <row r="77" spans="3:6" x14ac:dyDescent="0.35">
      <c r="C77"/>
      <c r="D77"/>
      <c r="E77"/>
      <c r="F77"/>
    </row>
    <row r="78" spans="3:6" x14ac:dyDescent="0.35">
      <c r="C78"/>
      <c r="D78"/>
      <c r="E78"/>
      <c r="F78"/>
    </row>
    <row r="79" spans="3:6" x14ac:dyDescent="0.35">
      <c r="C79"/>
      <c r="D79"/>
      <c r="E79"/>
      <c r="F79"/>
    </row>
    <row r="80" spans="3:6" x14ac:dyDescent="0.35">
      <c r="C80"/>
      <c r="D80"/>
      <c r="E80"/>
      <c r="F80"/>
    </row>
    <row r="81" spans="3:6" x14ac:dyDescent="0.35">
      <c r="C81"/>
      <c r="D81"/>
      <c r="E81"/>
      <c r="F81"/>
    </row>
    <row r="82" spans="3:6" x14ac:dyDescent="0.35">
      <c r="C82"/>
      <c r="D82"/>
      <c r="E82"/>
      <c r="F82"/>
    </row>
    <row r="83" spans="3:6" x14ac:dyDescent="0.35">
      <c r="C83"/>
      <c r="D83"/>
      <c r="E83"/>
      <c r="F83"/>
    </row>
    <row r="84" spans="3:6" x14ac:dyDescent="0.35">
      <c r="C84"/>
      <c r="D84"/>
      <c r="E84"/>
      <c r="F84"/>
    </row>
    <row r="85" spans="3:6" x14ac:dyDescent="0.35">
      <c r="C85"/>
      <c r="D85"/>
      <c r="E85"/>
      <c r="F85"/>
    </row>
    <row r="86" spans="3:6" x14ac:dyDescent="0.35">
      <c r="C86"/>
      <c r="D86"/>
      <c r="E86"/>
      <c r="F86"/>
    </row>
    <row r="87" spans="3:6" x14ac:dyDescent="0.35">
      <c r="C87"/>
      <c r="D87"/>
      <c r="E87"/>
      <c r="F87"/>
    </row>
    <row r="88" spans="3:6" x14ac:dyDescent="0.35">
      <c r="C88"/>
      <c r="D88"/>
      <c r="E88"/>
      <c r="F88"/>
    </row>
    <row r="89" spans="3:6" x14ac:dyDescent="0.35">
      <c r="C89"/>
      <c r="D89"/>
      <c r="E89"/>
      <c r="F89"/>
    </row>
    <row r="90" spans="3:6" x14ac:dyDescent="0.35">
      <c r="C90"/>
      <c r="D90"/>
      <c r="E90"/>
      <c r="F90"/>
    </row>
    <row r="91" spans="3:6" x14ac:dyDescent="0.35">
      <c r="C91"/>
      <c r="D91"/>
      <c r="E91"/>
      <c r="F91"/>
    </row>
    <row r="92" spans="3:6" x14ac:dyDescent="0.35">
      <c r="C92"/>
      <c r="D92"/>
      <c r="E92"/>
      <c r="F92"/>
    </row>
    <row r="93" spans="3:6" x14ac:dyDescent="0.35">
      <c r="C93"/>
      <c r="D93"/>
      <c r="E93"/>
      <c r="F93"/>
    </row>
    <row r="94" spans="3:6" x14ac:dyDescent="0.35">
      <c r="C94"/>
      <c r="D94"/>
      <c r="E94"/>
      <c r="F94"/>
    </row>
    <row r="95" spans="3:6" x14ac:dyDescent="0.35">
      <c r="C95"/>
      <c r="D95"/>
      <c r="E95"/>
      <c r="F95"/>
    </row>
    <row r="96" spans="3:6" x14ac:dyDescent="0.35">
      <c r="C96"/>
      <c r="D96"/>
      <c r="E96"/>
      <c r="F96"/>
    </row>
    <row r="97" spans="3:6" x14ac:dyDescent="0.35">
      <c r="C97"/>
      <c r="D97"/>
      <c r="E97"/>
      <c r="F97"/>
    </row>
    <row r="98" spans="3:6" x14ac:dyDescent="0.35">
      <c r="C98"/>
      <c r="D98"/>
      <c r="E98"/>
      <c r="F98"/>
    </row>
    <row r="99" spans="3:6" x14ac:dyDescent="0.35">
      <c r="C99"/>
      <c r="D99"/>
      <c r="E99"/>
      <c r="F99"/>
    </row>
    <row r="100" spans="3:6" x14ac:dyDescent="0.35">
      <c r="C100"/>
      <c r="D100"/>
      <c r="E100"/>
      <c r="F100"/>
    </row>
    <row r="101" spans="3:6" x14ac:dyDescent="0.35">
      <c r="C101"/>
      <c r="D101"/>
      <c r="E101"/>
      <c r="F101"/>
    </row>
    <row r="102" spans="3:6" x14ac:dyDescent="0.35">
      <c r="C102"/>
      <c r="D102"/>
      <c r="E102"/>
      <c r="F102"/>
    </row>
    <row r="103" spans="3:6" x14ac:dyDescent="0.35">
      <c r="C103"/>
      <c r="D103"/>
      <c r="E103"/>
      <c r="F103"/>
    </row>
    <row r="104" spans="3:6" x14ac:dyDescent="0.35">
      <c r="C104"/>
      <c r="D104"/>
      <c r="E104"/>
      <c r="F104"/>
    </row>
    <row r="105" spans="3:6" x14ac:dyDescent="0.35">
      <c r="C105"/>
      <c r="D105"/>
      <c r="E105"/>
      <c r="F105"/>
    </row>
    <row r="106" spans="3:6" x14ac:dyDescent="0.35">
      <c r="C106"/>
      <c r="D106"/>
      <c r="E106"/>
      <c r="F106"/>
    </row>
    <row r="107" spans="3:6" x14ac:dyDescent="0.35">
      <c r="C107"/>
      <c r="D107"/>
      <c r="E107"/>
      <c r="F107"/>
    </row>
    <row r="108" spans="3:6" x14ac:dyDescent="0.35">
      <c r="C108"/>
      <c r="D108"/>
      <c r="E108"/>
      <c r="F108"/>
    </row>
    <row r="109" spans="3:6" x14ac:dyDescent="0.35">
      <c r="C109"/>
      <c r="D109"/>
      <c r="E109"/>
      <c r="F109"/>
    </row>
    <row r="110" spans="3:6" x14ac:dyDescent="0.35">
      <c r="C110"/>
      <c r="D110"/>
      <c r="E110"/>
      <c r="F110"/>
    </row>
    <row r="111" spans="3:6" x14ac:dyDescent="0.35">
      <c r="C111"/>
      <c r="D111"/>
      <c r="E111"/>
      <c r="F111"/>
    </row>
    <row r="112" spans="3:6" x14ac:dyDescent="0.35">
      <c r="C112"/>
      <c r="D112"/>
      <c r="E112"/>
      <c r="F112"/>
    </row>
    <row r="113" spans="3:6" x14ac:dyDescent="0.35">
      <c r="C113"/>
      <c r="D113"/>
      <c r="E113"/>
      <c r="F113"/>
    </row>
    <row r="114" spans="3:6" x14ac:dyDescent="0.35">
      <c r="C114"/>
      <c r="D114"/>
      <c r="E114"/>
      <c r="F114"/>
    </row>
    <row r="115" spans="3:6" x14ac:dyDescent="0.35">
      <c r="C115"/>
      <c r="D115"/>
      <c r="E115"/>
      <c r="F115"/>
    </row>
    <row r="116" spans="3:6" x14ac:dyDescent="0.35">
      <c r="C116"/>
      <c r="D116"/>
      <c r="E116"/>
      <c r="F116"/>
    </row>
    <row r="117" spans="3:6" x14ac:dyDescent="0.35">
      <c r="C117"/>
      <c r="D117"/>
      <c r="E117"/>
      <c r="F117"/>
    </row>
    <row r="118" spans="3:6" x14ac:dyDescent="0.35">
      <c r="C118"/>
      <c r="D118"/>
      <c r="E118"/>
      <c r="F118"/>
    </row>
    <row r="119" spans="3:6" x14ac:dyDescent="0.35">
      <c r="C119"/>
      <c r="D119"/>
      <c r="E119"/>
      <c r="F119"/>
    </row>
    <row r="120" spans="3:6" x14ac:dyDescent="0.35">
      <c r="C120"/>
      <c r="D120"/>
      <c r="E120"/>
      <c r="F120"/>
    </row>
    <row r="121" spans="3:6" x14ac:dyDescent="0.35">
      <c r="C121"/>
      <c r="D121"/>
      <c r="E121"/>
      <c r="F121"/>
    </row>
    <row r="122" spans="3:6" x14ac:dyDescent="0.35">
      <c r="C122"/>
      <c r="D122"/>
      <c r="E122"/>
      <c r="F122"/>
    </row>
    <row r="123" spans="3:6" x14ac:dyDescent="0.35">
      <c r="C123"/>
      <c r="D123"/>
      <c r="E123"/>
      <c r="F123"/>
    </row>
    <row r="124" spans="3:6" x14ac:dyDescent="0.35">
      <c r="C124"/>
      <c r="D124"/>
      <c r="E124"/>
      <c r="F124"/>
    </row>
    <row r="125" spans="3:6" x14ac:dyDescent="0.35">
      <c r="C125"/>
      <c r="D125"/>
      <c r="E125"/>
      <c r="F125"/>
    </row>
    <row r="126" spans="3:6" x14ac:dyDescent="0.35">
      <c r="C126"/>
      <c r="D126"/>
      <c r="E126"/>
      <c r="F126"/>
    </row>
  </sheetData>
  <mergeCells count="2">
    <mergeCell ref="K1:O1"/>
    <mergeCell ref="B26:F26"/>
  </mergeCells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3BAF4-DD12-4363-9007-FD5878241189}">
  <dimension ref="A1:E29"/>
  <sheetViews>
    <sheetView showGridLines="0" workbookViewId="0">
      <selection activeCell="B7" sqref="B7"/>
    </sheetView>
  </sheetViews>
  <sheetFormatPr defaultColWidth="9.1796875" defaultRowHeight="14.5" x14ac:dyDescent="0.35"/>
  <cols>
    <col min="1" max="1" width="36.54296875" style="3" bestFit="1" customWidth="1"/>
    <col min="2" max="2" width="18.36328125" style="3" bestFit="1" customWidth="1"/>
    <col min="3" max="3" width="25" style="3" customWidth="1"/>
    <col min="4" max="4" width="12.54296875" style="3" customWidth="1"/>
    <col min="5" max="5" width="36" style="3" bestFit="1" customWidth="1"/>
    <col min="6" max="16384" width="9.1796875" style="3"/>
  </cols>
  <sheetData>
    <row r="1" spans="1:5" x14ac:dyDescent="0.35">
      <c r="A1" s="27" t="s">
        <v>0</v>
      </c>
    </row>
    <row r="2" spans="1:5" x14ac:dyDescent="0.35">
      <c r="A2" s="24" t="s">
        <v>147</v>
      </c>
    </row>
    <row r="4" spans="1:5" x14ac:dyDescent="0.35">
      <c r="A4" s="28" t="s">
        <v>1</v>
      </c>
      <c r="B4" s="29"/>
    </row>
    <row r="5" spans="1:5" x14ac:dyDescent="0.35">
      <c r="A5" s="25" t="s">
        <v>2</v>
      </c>
      <c r="B5" s="30" t="s">
        <v>3</v>
      </c>
    </row>
    <row r="6" spans="1:5" ht="15" thickBot="1" x14ac:dyDescent="0.4">
      <c r="A6" s="25" t="s">
        <v>4</v>
      </c>
      <c r="B6" s="31">
        <v>2</v>
      </c>
    </row>
    <row r="7" spans="1:5" ht="15" thickBot="1" x14ac:dyDescent="0.4">
      <c r="A7" s="25" t="s">
        <v>5</v>
      </c>
      <c r="B7" s="32">
        <v>55.2</v>
      </c>
    </row>
    <row r="8" spans="1:5" ht="15" thickBot="1" x14ac:dyDescent="0.4">
      <c r="A8" s="25" t="s">
        <v>6</v>
      </c>
      <c r="B8" s="45">
        <v>4800</v>
      </c>
    </row>
    <row r="9" spans="1:5" ht="15" thickBot="1" x14ac:dyDescent="0.4">
      <c r="A9" s="25" t="s">
        <v>7</v>
      </c>
      <c r="B9" s="33" t="s">
        <v>8</v>
      </c>
    </row>
    <row r="10" spans="1:5" ht="29.5" thickBot="1" x14ac:dyDescent="0.4">
      <c r="A10" s="25" t="s">
        <v>9</v>
      </c>
      <c r="B10" s="33" t="s">
        <v>8</v>
      </c>
    </row>
    <row r="13" spans="1:5" s="5" customFormat="1" x14ac:dyDescent="0.35">
      <c r="A13" s="34" t="s">
        <v>10</v>
      </c>
      <c r="B13" s="22" t="s">
        <v>11</v>
      </c>
      <c r="C13" s="22" t="s">
        <v>12</v>
      </c>
      <c r="D13" s="22" t="s">
        <v>13</v>
      </c>
      <c r="E13" s="52" t="s">
        <v>14</v>
      </c>
    </row>
    <row r="14" spans="1:5" ht="72.5" x14ac:dyDescent="0.35">
      <c r="A14" s="24" t="s">
        <v>15</v>
      </c>
      <c r="B14" s="24" t="s">
        <v>148</v>
      </c>
      <c r="C14" s="33" t="s">
        <v>16</v>
      </c>
      <c r="D14" s="26" t="s">
        <v>8</v>
      </c>
      <c r="E14" s="21" t="s">
        <v>17</v>
      </c>
    </row>
    <row r="15" spans="1:5" ht="15" thickBot="1" x14ac:dyDescent="0.4">
      <c r="A15" s="24" t="s">
        <v>18</v>
      </c>
      <c r="B15" s="24" t="s">
        <v>149</v>
      </c>
      <c r="C15" s="33" t="s">
        <v>16</v>
      </c>
      <c r="D15" s="26"/>
      <c r="E15" s="21" t="s">
        <v>19</v>
      </c>
    </row>
    <row r="16" spans="1:5" ht="15" thickBot="1" x14ac:dyDescent="0.4">
      <c r="A16" s="24" t="s">
        <v>133</v>
      </c>
      <c r="B16" s="24" t="s">
        <v>149</v>
      </c>
      <c r="C16" s="33" t="s">
        <v>16</v>
      </c>
      <c r="D16" s="26"/>
      <c r="E16" s="21"/>
    </row>
    <row r="17" spans="1:5" ht="15" thickBot="1" x14ac:dyDescent="0.4">
      <c r="A17" s="24" t="s">
        <v>136</v>
      </c>
      <c r="B17" s="24" t="s">
        <v>149</v>
      </c>
      <c r="C17" s="33" t="s">
        <v>16</v>
      </c>
      <c r="D17" s="26"/>
      <c r="E17" s="21" t="s">
        <v>19</v>
      </c>
    </row>
    <row r="18" spans="1:5" ht="15" thickBot="1" x14ac:dyDescent="0.4">
      <c r="A18" s="24" t="s">
        <v>134</v>
      </c>
      <c r="B18" s="24" t="s">
        <v>149</v>
      </c>
      <c r="C18" s="33" t="s">
        <v>16</v>
      </c>
      <c r="D18" s="26"/>
      <c r="E18" s="21" t="s">
        <v>19</v>
      </c>
    </row>
    <row r="19" spans="1:5" ht="15" thickBot="1" x14ac:dyDescent="0.4">
      <c r="A19" s="24" t="s">
        <v>27</v>
      </c>
      <c r="B19" s="24" t="s">
        <v>142</v>
      </c>
      <c r="C19" s="33" t="s">
        <v>25</v>
      </c>
      <c r="D19" s="26"/>
      <c r="E19" s="21" t="s">
        <v>23</v>
      </c>
    </row>
    <row r="20" spans="1:5" x14ac:dyDescent="0.35">
      <c r="A20" s="24" t="s">
        <v>29</v>
      </c>
      <c r="B20" s="24" t="s">
        <v>142</v>
      </c>
      <c r="C20" s="33" t="s">
        <v>30</v>
      </c>
      <c r="D20" s="26" t="s">
        <v>8</v>
      </c>
      <c r="E20" s="21" t="s">
        <v>19</v>
      </c>
    </row>
    <row r="21" spans="1:5" x14ac:dyDescent="0.35">
      <c r="A21" s="24" t="s">
        <v>137</v>
      </c>
      <c r="B21" s="24" t="s">
        <v>142</v>
      </c>
      <c r="C21" s="33" t="s">
        <v>25</v>
      </c>
      <c r="D21" s="26"/>
      <c r="E21" s="21" t="s">
        <v>28</v>
      </c>
    </row>
    <row r="22" spans="1:5" x14ac:dyDescent="0.35">
      <c r="A22" s="24" t="s">
        <v>129</v>
      </c>
      <c r="B22" s="24" t="s">
        <v>142</v>
      </c>
      <c r="C22" s="33" t="s">
        <v>25</v>
      </c>
      <c r="D22" s="26"/>
      <c r="E22" s="21" t="s">
        <v>26</v>
      </c>
    </row>
    <row r="23" spans="1:5" x14ac:dyDescent="0.35">
      <c r="A23" s="24" t="s">
        <v>130</v>
      </c>
      <c r="B23" s="24" t="s">
        <v>142</v>
      </c>
      <c r="C23" s="33" t="s">
        <v>25</v>
      </c>
      <c r="D23" s="26"/>
      <c r="E23" s="21" t="s">
        <v>26</v>
      </c>
    </row>
    <row r="24" spans="1:5" x14ac:dyDescent="0.35">
      <c r="A24" s="24" t="s">
        <v>131</v>
      </c>
      <c r="B24" s="24" t="s">
        <v>142</v>
      </c>
      <c r="C24" s="33" t="s">
        <v>25</v>
      </c>
      <c r="D24" s="26"/>
      <c r="E24" s="21" t="s">
        <v>26</v>
      </c>
    </row>
    <row r="25" spans="1:5" x14ac:dyDescent="0.35">
      <c r="A25" s="24" t="s">
        <v>128</v>
      </c>
      <c r="B25" s="24" t="s">
        <v>142</v>
      </c>
      <c r="C25" s="33" t="s">
        <v>25</v>
      </c>
      <c r="D25" s="26"/>
      <c r="E25" s="21" t="s">
        <v>26</v>
      </c>
    </row>
    <row r="26" spans="1:5" ht="15" thickBot="1" x14ac:dyDescent="0.4">
      <c r="A26" s="24" t="s">
        <v>135</v>
      </c>
      <c r="B26" s="24" t="s">
        <v>142</v>
      </c>
      <c r="C26" s="33" t="s">
        <v>22</v>
      </c>
      <c r="D26" s="26"/>
      <c r="E26" s="21" t="s">
        <v>23</v>
      </c>
    </row>
    <row r="27" spans="1:5" ht="15" thickBot="1" x14ac:dyDescent="0.4">
      <c r="A27" s="24" t="s">
        <v>21</v>
      </c>
      <c r="B27" s="24" t="s">
        <v>142</v>
      </c>
      <c r="C27" s="33" t="s">
        <v>22</v>
      </c>
      <c r="D27" s="26"/>
      <c r="E27" s="21" t="s">
        <v>23</v>
      </c>
    </row>
    <row r="28" spans="1:5" ht="58.5" thickBot="1" x14ac:dyDescent="0.4">
      <c r="A28" s="24" t="s">
        <v>132</v>
      </c>
      <c r="B28" s="24" t="s">
        <v>143</v>
      </c>
      <c r="C28" s="33" t="s">
        <v>32</v>
      </c>
      <c r="D28" s="26"/>
      <c r="E28" s="21" t="s">
        <v>33</v>
      </c>
    </row>
    <row r="29" spans="1:5" ht="15" thickBot="1" x14ac:dyDescent="0.4">
      <c r="A29" s="24" t="s">
        <v>34</v>
      </c>
      <c r="B29" s="24" t="s">
        <v>34</v>
      </c>
      <c r="C29" s="33" t="s">
        <v>22</v>
      </c>
      <c r="D29" s="26"/>
      <c r="E29" s="21" t="s">
        <v>23</v>
      </c>
    </row>
  </sheetData>
  <phoneticPr fontId="5" type="noConversion"/>
  <dataValidations count="2">
    <dataValidation type="list" allowBlank="1" showInputMessage="1" showErrorMessage="1" sqref="D14 D20 B9:B11" xr:uid="{90328A09-C68B-4911-907C-E9B6F669522F}">
      <formula1>"да,нет"</formula1>
    </dataValidation>
    <dataValidation allowBlank="1" showInputMessage="1" showErrorMessage="1" sqref="E14:E29" xr:uid="{EEAF0B01-A716-45A5-80B9-6D59D6176D06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268B637-1392-4C73-BF29-DFBD0AAEFD66}">
          <x14:formula1>
            <xm:f>helper!$C$2:$C$7</xm:f>
          </x14:formula1>
          <xm:sqref>C14:C20 C22:C29</xm:sqref>
        </x14:dataValidation>
        <x14:dataValidation type="list" allowBlank="1" showInputMessage="1" showErrorMessage="1" xr:uid="{5CEB98F6-5A3C-4525-815D-A81B6571188D}">
          <x14:formula1>
            <xm:f>helper!$E$2:$E$10</xm:f>
          </x14:formula1>
          <xm:sqref>B14:B29</xm:sqref>
        </x14:dataValidation>
        <x14:dataValidation type="list" allowBlank="1" showInputMessage="1" showErrorMessage="1" xr:uid="{9721D511-0FA1-47CA-9E41-619DC2D5C7F7}">
          <x14:formula1>
            <xm:f>helper!$B$2:$B$20</xm:f>
          </x14:formula1>
          <xm:sqref>A14:A29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BD75F-6EAC-448A-8527-0296203F8E7B}">
  <dimension ref="A1:D26"/>
  <sheetViews>
    <sheetView showGridLines="0" workbookViewId="0">
      <pane ySplit="1" topLeftCell="A2" activePane="bottomLeft" state="frozen"/>
      <selection pane="bottomLeft" activeCell="D17" sqref="D17"/>
    </sheetView>
  </sheetViews>
  <sheetFormatPr defaultRowHeight="14.5" x14ac:dyDescent="0.35"/>
  <cols>
    <col min="1" max="1" width="10.1796875" customWidth="1"/>
    <col min="2" max="2" width="15.26953125" bestFit="1" customWidth="1"/>
  </cols>
  <sheetData>
    <row r="1" spans="1:4" s="1" customFormat="1" ht="29.5" thickBot="1" x14ac:dyDescent="0.4">
      <c r="A1" s="74" t="s">
        <v>52</v>
      </c>
      <c r="B1" s="22" t="s">
        <v>15</v>
      </c>
      <c r="C1" s="22" t="s">
        <v>18</v>
      </c>
      <c r="D1" s="22" t="s">
        <v>127</v>
      </c>
    </row>
    <row r="2" spans="1:4" ht="15" hidden="1" thickBot="1" x14ac:dyDescent="0.4">
      <c r="A2" s="80">
        <v>45627</v>
      </c>
      <c r="B2" s="100"/>
      <c r="C2" s="99"/>
      <c r="D2" s="99"/>
    </row>
    <row r="3" spans="1:4" ht="15" hidden="1" thickBot="1" x14ac:dyDescent="0.4">
      <c r="A3" s="80">
        <v>45658</v>
      </c>
      <c r="B3" s="100"/>
      <c r="C3" s="99"/>
      <c r="D3" s="99"/>
    </row>
    <row r="4" spans="1:4" ht="15" hidden="1" thickBot="1" x14ac:dyDescent="0.4">
      <c r="A4" s="80">
        <v>45689</v>
      </c>
      <c r="B4" s="100"/>
      <c r="C4" s="99"/>
      <c r="D4" s="99"/>
    </row>
    <row r="5" spans="1:4" ht="15" hidden="1" thickBot="1" x14ac:dyDescent="0.4">
      <c r="A5" s="80">
        <v>45717</v>
      </c>
      <c r="B5" s="100"/>
      <c r="C5" s="99"/>
      <c r="D5" s="99"/>
    </row>
    <row r="6" spans="1:4" ht="15" hidden="1" thickBot="1" x14ac:dyDescent="0.4">
      <c r="A6" s="80">
        <v>45748</v>
      </c>
      <c r="B6" s="100"/>
      <c r="C6" s="99"/>
      <c r="D6" s="99"/>
    </row>
    <row r="7" spans="1:4" ht="15" hidden="1" thickBot="1" x14ac:dyDescent="0.4">
      <c r="A7" s="80">
        <v>45778</v>
      </c>
      <c r="B7" s="100"/>
      <c r="C7" s="99"/>
      <c r="D7" s="99"/>
    </row>
    <row r="8" spans="1:4" ht="15" hidden="1" thickBot="1" x14ac:dyDescent="0.4">
      <c r="A8" s="80">
        <v>45809</v>
      </c>
      <c r="B8" s="100"/>
      <c r="C8" s="99"/>
      <c r="D8" s="99"/>
    </row>
    <row r="9" spans="1:4" ht="15" hidden="1" thickBot="1" x14ac:dyDescent="0.4">
      <c r="A9" s="80">
        <v>45839</v>
      </c>
      <c r="B9" s="100"/>
      <c r="C9" s="99"/>
      <c r="D9" s="99"/>
    </row>
    <row r="10" spans="1:4" ht="15" hidden="1" thickBot="1" x14ac:dyDescent="0.4">
      <c r="A10" s="80">
        <v>45870</v>
      </c>
      <c r="B10" s="100"/>
      <c r="C10" s="99"/>
      <c r="D10" s="99"/>
    </row>
    <row r="11" spans="1:4" ht="15" hidden="1" thickBot="1" x14ac:dyDescent="0.4">
      <c r="A11" s="80">
        <v>45901</v>
      </c>
      <c r="B11" s="100"/>
      <c r="C11" s="99"/>
      <c r="D11" s="99"/>
    </row>
    <row r="12" spans="1:4" ht="15" hidden="1" thickBot="1" x14ac:dyDescent="0.4">
      <c r="A12" s="80">
        <v>45931</v>
      </c>
      <c r="B12" s="100"/>
      <c r="C12" s="99"/>
      <c r="D12" s="99"/>
    </row>
    <row r="13" spans="1:4" ht="15" hidden="1" thickBot="1" x14ac:dyDescent="0.4">
      <c r="A13" s="80">
        <v>45962</v>
      </c>
      <c r="B13" s="100"/>
      <c r="C13" s="99"/>
      <c r="D13" s="99"/>
    </row>
    <row r="14" spans="1:4" ht="15" hidden="1" thickBot="1" x14ac:dyDescent="0.4">
      <c r="A14" s="80">
        <v>45992</v>
      </c>
      <c r="B14" s="100"/>
      <c r="C14" s="99"/>
      <c r="D14" s="99"/>
    </row>
    <row r="15" spans="1:4" ht="15" thickBot="1" x14ac:dyDescent="0.4">
      <c r="A15" s="80">
        <v>46023</v>
      </c>
      <c r="B15" s="100">
        <v>1562</v>
      </c>
      <c r="C15" s="99">
        <v>8.3000000000000007</v>
      </c>
      <c r="D15" s="99">
        <v>9.1229999999999993</v>
      </c>
    </row>
    <row r="16" spans="1:4" ht="15" thickBot="1" x14ac:dyDescent="0.4">
      <c r="A16" s="80">
        <v>46054</v>
      </c>
      <c r="B16" s="100">
        <v>1763</v>
      </c>
      <c r="C16" s="99">
        <v>12.898</v>
      </c>
      <c r="D16" s="99">
        <v>12.324999999999999</v>
      </c>
    </row>
    <row r="17" spans="1:4" ht="15" thickBot="1" x14ac:dyDescent="0.4">
      <c r="A17" s="80">
        <v>46082</v>
      </c>
      <c r="B17" s="100"/>
      <c r="C17" s="99"/>
      <c r="D17" s="99"/>
    </row>
    <row r="18" spans="1:4" ht="15" thickBot="1" x14ac:dyDescent="0.4">
      <c r="A18" s="80">
        <v>46113</v>
      </c>
      <c r="B18" s="100"/>
      <c r="C18" s="99"/>
      <c r="D18" s="99"/>
    </row>
    <row r="19" spans="1:4" ht="15" thickBot="1" x14ac:dyDescent="0.4">
      <c r="A19" s="80">
        <v>46143</v>
      </c>
      <c r="B19" s="100"/>
      <c r="C19" s="99"/>
      <c r="D19" s="99"/>
    </row>
    <row r="20" spans="1:4" ht="15" hidden="1" thickBot="1" x14ac:dyDescent="0.4">
      <c r="A20" s="80">
        <v>46174</v>
      </c>
      <c r="B20" s="100"/>
      <c r="C20" s="99"/>
      <c r="D20" s="99"/>
    </row>
    <row r="21" spans="1:4" ht="15" hidden="1" thickBot="1" x14ac:dyDescent="0.4">
      <c r="A21" s="80">
        <v>46204</v>
      </c>
      <c r="B21" s="100"/>
      <c r="C21" s="99"/>
      <c r="D21" s="99"/>
    </row>
    <row r="22" spans="1:4" ht="15" hidden="1" thickBot="1" x14ac:dyDescent="0.4">
      <c r="A22" s="80">
        <v>46235</v>
      </c>
      <c r="B22" s="100"/>
      <c r="C22" s="99"/>
      <c r="D22" s="99"/>
    </row>
    <row r="23" spans="1:4" ht="15" hidden="1" thickBot="1" x14ac:dyDescent="0.4">
      <c r="A23" s="80">
        <v>46266</v>
      </c>
      <c r="B23" s="100"/>
      <c r="C23" s="99"/>
      <c r="D23" s="99"/>
    </row>
    <row r="24" spans="1:4" ht="15" hidden="1" thickBot="1" x14ac:dyDescent="0.4">
      <c r="A24" s="80">
        <v>46296</v>
      </c>
      <c r="B24" s="100"/>
      <c r="C24" s="99"/>
      <c r="D24" s="99"/>
    </row>
    <row r="25" spans="1:4" ht="15" hidden="1" thickBot="1" x14ac:dyDescent="0.4">
      <c r="A25" s="80">
        <v>46327</v>
      </c>
      <c r="B25" s="100"/>
      <c r="C25" s="99"/>
      <c r="D25" s="99"/>
    </row>
    <row r="26" spans="1:4" ht="15" hidden="1" thickBot="1" x14ac:dyDescent="0.4">
      <c r="A26" s="80">
        <v>46357</v>
      </c>
      <c r="B26" s="100"/>
      <c r="C26" s="99"/>
      <c r="D26" s="99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AB57BFF-A77D-40D6-8455-BD62BE97A762}">
          <x14:formula1>
            <xm:f>helper!$B$2:$B$20</xm:f>
          </x14:formula1>
          <xm:sqref>B1:D1</xm:sqref>
        </x14:dataValidation>
        <x14:dataValidation type="list" allowBlank="1" showInputMessage="1" showErrorMessage="1" xr:uid="{E5DD8D35-6397-4992-BAA0-3D7CD5D512AF}">
          <x14:formula1>
            <xm:f>helper!$F$2:$F$237</xm:f>
          </x14:formula1>
          <xm:sqref>A2:A227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2DAD5-C944-49BD-B533-55A4B1F4CE6D}">
  <dimension ref="A1:AN39"/>
  <sheetViews>
    <sheetView tabSelected="1" workbookViewId="0">
      <pane xSplit="2" ySplit="1" topLeftCell="C2" activePane="bottomRight" state="frozen"/>
      <selection pane="topRight" activeCell="D1" sqref="D1"/>
      <selection pane="bottomLeft" activeCell="A2" sqref="A2"/>
      <selection pane="bottomRight"/>
    </sheetView>
  </sheetViews>
  <sheetFormatPr defaultColWidth="9.1796875" defaultRowHeight="14.5" x14ac:dyDescent="0.35"/>
  <cols>
    <col min="1" max="1" width="25.26953125" style="3" customWidth="1"/>
    <col min="2" max="2" width="14.36328125" style="3" bestFit="1" customWidth="1"/>
    <col min="3" max="26" width="9.54296875" style="3" hidden="1" customWidth="1"/>
    <col min="27" max="38" width="9.54296875" style="3" customWidth="1"/>
    <col min="39" max="39" width="59.7265625" style="3" customWidth="1"/>
    <col min="40" max="16384" width="9.1796875" style="3"/>
  </cols>
  <sheetData>
    <row r="1" spans="1:40" ht="15" thickBot="1" x14ac:dyDescent="0.4">
      <c r="A1" s="52" t="s">
        <v>75</v>
      </c>
      <c r="B1" s="52" t="s">
        <v>76</v>
      </c>
      <c r="C1" s="101">
        <v>45292</v>
      </c>
      <c r="D1" s="101">
        <v>45323</v>
      </c>
      <c r="E1" s="101">
        <v>45352</v>
      </c>
      <c r="F1" s="101">
        <v>45383</v>
      </c>
      <c r="G1" s="101">
        <v>45413</v>
      </c>
      <c r="H1" s="101">
        <v>45444</v>
      </c>
      <c r="I1" s="101">
        <v>45474</v>
      </c>
      <c r="J1" s="101">
        <v>45505</v>
      </c>
      <c r="K1" s="101">
        <v>45536</v>
      </c>
      <c r="L1" s="101">
        <v>45566</v>
      </c>
      <c r="M1" s="101">
        <v>45597</v>
      </c>
      <c r="N1" s="101">
        <v>45627</v>
      </c>
      <c r="O1" s="101">
        <v>45658</v>
      </c>
      <c r="P1" s="101">
        <v>45689</v>
      </c>
      <c r="Q1" s="101">
        <v>45717</v>
      </c>
      <c r="R1" s="101">
        <v>45748</v>
      </c>
      <c r="S1" s="101">
        <v>45778</v>
      </c>
      <c r="T1" s="101">
        <v>45809</v>
      </c>
      <c r="U1" s="101">
        <v>45839</v>
      </c>
      <c r="V1" s="101">
        <v>45870</v>
      </c>
      <c r="W1" s="101">
        <v>45901</v>
      </c>
      <c r="X1" s="101">
        <v>45931</v>
      </c>
      <c r="Y1" s="101">
        <v>45962</v>
      </c>
      <c r="Z1" s="101">
        <v>45992</v>
      </c>
      <c r="AA1" s="101">
        <v>46023</v>
      </c>
      <c r="AB1" s="101">
        <v>46054</v>
      </c>
      <c r="AC1" s="101">
        <v>46082</v>
      </c>
      <c r="AD1" s="101">
        <v>46113</v>
      </c>
      <c r="AE1" s="101">
        <v>46143</v>
      </c>
      <c r="AF1" s="101">
        <v>46174</v>
      </c>
      <c r="AG1" s="101">
        <v>46204</v>
      </c>
      <c r="AH1" s="101">
        <v>46235</v>
      </c>
      <c r="AI1" s="101">
        <v>46266</v>
      </c>
      <c r="AJ1" s="101">
        <v>46296</v>
      </c>
      <c r="AK1" s="101">
        <v>46327</v>
      </c>
      <c r="AL1" s="101">
        <v>46357</v>
      </c>
      <c r="AM1" s="52" t="s">
        <v>77</v>
      </c>
    </row>
    <row r="2" spans="1:40" ht="29.5" thickBot="1" x14ac:dyDescent="0.4">
      <c r="A2" s="21" t="s">
        <v>78</v>
      </c>
      <c r="B2" s="9" t="s">
        <v>45</v>
      </c>
      <c r="C2" s="38">
        <v>3.36</v>
      </c>
      <c r="D2" s="38">
        <v>3.36</v>
      </c>
      <c r="E2" s="38">
        <v>3.36</v>
      </c>
      <c r="F2" s="38">
        <v>3.36</v>
      </c>
      <c r="G2" s="38">
        <v>3.36</v>
      </c>
      <c r="H2" s="38">
        <v>3.36</v>
      </c>
      <c r="I2" s="38">
        <v>3.67</v>
      </c>
      <c r="J2" s="38">
        <v>3.67</v>
      </c>
      <c r="K2" s="38">
        <v>3.67</v>
      </c>
      <c r="L2" s="38">
        <v>3.67</v>
      </c>
      <c r="M2" s="38">
        <v>3.67</v>
      </c>
      <c r="N2" s="38">
        <v>3.67</v>
      </c>
      <c r="O2" s="38">
        <v>3.67</v>
      </c>
      <c r="P2" s="38">
        <v>3.67</v>
      </c>
      <c r="Q2" s="38">
        <v>3.67</v>
      </c>
      <c r="R2" s="38">
        <v>3.67</v>
      </c>
      <c r="S2" s="38">
        <v>3.67</v>
      </c>
      <c r="T2" s="38">
        <v>3.67</v>
      </c>
      <c r="U2" s="38">
        <v>4.13</v>
      </c>
      <c r="V2" s="38">
        <v>4.13</v>
      </c>
      <c r="W2" s="38">
        <v>4.13</v>
      </c>
      <c r="X2" s="38">
        <v>4.13</v>
      </c>
      <c r="Y2" s="38">
        <v>4.13</v>
      </c>
      <c r="Z2" s="38">
        <v>4.13</v>
      </c>
      <c r="AA2" s="38">
        <v>4.2</v>
      </c>
      <c r="AB2" s="38">
        <v>4.2</v>
      </c>
      <c r="AC2" s="38">
        <v>4.2</v>
      </c>
      <c r="AD2" s="38">
        <v>4.2</v>
      </c>
      <c r="AE2" s="38">
        <v>4.2</v>
      </c>
      <c r="AF2" s="38">
        <v>4.2</v>
      </c>
      <c r="AG2" s="38">
        <v>4.2</v>
      </c>
      <c r="AH2" s="38">
        <v>4.2</v>
      </c>
      <c r="AI2" s="38">
        <v>4.2</v>
      </c>
      <c r="AJ2" s="38">
        <v>4.67</v>
      </c>
      <c r="AK2" s="38">
        <v>4.67</v>
      </c>
      <c r="AL2" s="38">
        <v>4.67</v>
      </c>
      <c r="AM2" s="4" t="s">
        <v>79</v>
      </c>
      <c r="AN2" s="107" t="s">
        <v>152</v>
      </c>
    </row>
    <row r="3" spans="1:40" ht="15" thickBot="1" x14ac:dyDescent="0.4">
      <c r="A3" s="21" t="s">
        <v>80</v>
      </c>
      <c r="B3" s="9" t="s">
        <v>45</v>
      </c>
      <c r="C3" s="38">
        <v>4.71</v>
      </c>
      <c r="D3" s="38">
        <v>4.71</v>
      </c>
      <c r="E3" s="38">
        <v>4.71</v>
      </c>
      <c r="F3" s="38">
        <v>4.71</v>
      </c>
      <c r="G3" s="38">
        <v>4.71</v>
      </c>
      <c r="H3" s="38">
        <v>4.71</v>
      </c>
      <c r="I3" s="38">
        <v>5.12</v>
      </c>
      <c r="J3" s="38">
        <v>5.12</v>
      </c>
      <c r="K3" s="38">
        <v>5.12</v>
      </c>
      <c r="L3" s="38">
        <v>5.12</v>
      </c>
      <c r="M3" s="38">
        <v>5.12</v>
      </c>
      <c r="N3" s="38">
        <v>5.12</v>
      </c>
      <c r="O3" s="38">
        <v>5.12</v>
      </c>
      <c r="P3" s="38">
        <v>5.12</v>
      </c>
      <c r="Q3" s="38">
        <v>5.12</v>
      </c>
      <c r="R3" s="38">
        <v>5.12</v>
      </c>
      <c r="S3" s="38">
        <v>5.12</v>
      </c>
      <c r="T3" s="38">
        <v>5.12</v>
      </c>
      <c r="U3" s="38">
        <v>5.76</v>
      </c>
      <c r="V3" s="38">
        <v>5.76</v>
      </c>
      <c r="W3" s="38">
        <v>5.76</v>
      </c>
      <c r="X3" s="38">
        <v>5.76</v>
      </c>
      <c r="Y3" s="38">
        <v>5.76</v>
      </c>
      <c r="Z3" s="38">
        <v>5.76</v>
      </c>
      <c r="AA3" s="38">
        <v>5.72</v>
      </c>
      <c r="AB3" s="38">
        <v>5.72</v>
      </c>
      <c r="AC3" s="38">
        <v>5.72</v>
      </c>
      <c r="AD3" s="38">
        <v>5.72</v>
      </c>
      <c r="AE3" s="38">
        <v>5.72</v>
      </c>
      <c r="AF3" s="38">
        <v>5.72</v>
      </c>
      <c r="AG3" s="38">
        <v>5.72</v>
      </c>
      <c r="AH3" s="38">
        <v>5.72</v>
      </c>
      <c r="AI3" s="38">
        <v>5.72</v>
      </c>
      <c r="AJ3" s="38">
        <v>6.48</v>
      </c>
      <c r="AK3" s="38">
        <v>6.48</v>
      </c>
      <c r="AL3" s="38">
        <v>6.48</v>
      </c>
      <c r="AM3" s="4"/>
    </row>
    <row r="4" spans="1:40" ht="15" thickBot="1" x14ac:dyDescent="0.4">
      <c r="A4" s="21" t="s">
        <v>18</v>
      </c>
      <c r="B4" s="9" t="s">
        <v>46</v>
      </c>
      <c r="C4" s="38">
        <v>51.62</v>
      </c>
      <c r="D4" s="38">
        <v>51.62</v>
      </c>
      <c r="E4" s="38">
        <v>51.62</v>
      </c>
      <c r="F4" s="38">
        <v>51.62</v>
      </c>
      <c r="G4" s="38">
        <v>51.62</v>
      </c>
      <c r="H4" s="38">
        <v>51.62</v>
      </c>
      <c r="I4" s="38">
        <v>56.52</v>
      </c>
      <c r="J4" s="38">
        <v>56.52</v>
      </c>
      <c r="K4" s="38">
        <v>56.52</v>
      </c>
      <c r="L4" s="38">
        <v>56.52</v>
      </c>
      <c r="M4" s="38">
        <v>56.52</v>
      </c>
      <c r="N4" s="38">
        <v>56.52</v>
      </c>
      <c r="O4" s="38">
        <v>56.52</v>
      </c>
      <c r="P4" s="38">
        <v>56.52</v>
      </c>
      <c r="Q4" s="38">
        <v>56.52</v>
      </c>
      <c r="R4" s="38">
        <v>56.52</v>
      </c>
      <c r="S4" s="38">
        <v>56.52</v>
      </c>
      <c r="T4" s="38">
        <v>56.52</v>
      </c>
      <c r="U4" s="38">
        <v>61.94</v>
      </c>
      <c r="V4" s="38">
        <v>61.94</v>
      </c>
      <c r="W4" s="38">
        <v>61.94</v>
      </c>
      <c r="X4" s="38">
        <v>61.94</v>
      </c>
      <c r="Y4" s="38">
        <v>61.94</v>
      </c>
      <c r="Z4" s="38">
        <v>61.94</v>
      </c>
      <c r="AA4" s="38">
        <v>62.98</v>
      </c>
      <c r="AB4" s="38">
        <v>62.98</v>
      </c>
      <c r="AC4" s="38">
        <v>62.98</v>
      </c>
      <c r="AD4" s="38">
        <v>62.98</v>
      </c>
      <c r="AE4" s="38">
        <v>62.98</v>
      </c>
      <c r="AF4" s="38">
        <v>62.98</v>
      </c>
      <c r="AG4" s="38">
        <v>62.98</v>
      </c>
      <c r="AH4" s="38">
        <v>62.98</v>
      </c>
      <c r="AI4" s="38">
        <v>62.98</v>
      </c>
      <c r="AJ4" s="38">
        <v>69.150000000000006</v>
      </c>
      <c r="AK4" s="38">
        <v>69.150000000000006</v>
      </c>
      <c r="AL4" s="38">
        <v>69.150000000000006</v>
      </c>
      <c r="AM4" s="4" t="s">
        <v>81</v>
      </c>
      <c r="AN4" s="107" t="s">
        <v>153</v>
      </c>
    </row>
    <row r="5" spans="1:40" ht="15" thickBot="1" x14ac:dyDescent="0.4">
      <c r="A5" s="21" t="s">
        <v>20</v>
      </c>
      <c r="B5" s="9" t="s">
        <v>46</v>
      </c>
      <c r="C5" s="38">
        <v>36.159999999999997</v>
      </c>
      <c r="D5" s="38">
        <v>36.159999999999997</v>
      </c>
      <c r="E5" s="38">
        <v>36.159999999999997</v>
      </c>
      <c r="F5" s="38">
        <v>36.159999999999997</v>
      </c>
      <c r="G5" s="38">
        <v>36.159999999999997</v>
      </c>
      <c r="H5" s="38">
        <v>36.159999999999997</v>
      </c>
      <c r="I5" s="38">
        <v>39.590000000000003</v>
      </c>
      <c r="J5" s="38">
        <v>39.590000000000003</v>
      </c>
      <c r="K5" s="38">
        <v>39.590000000000003</v>
      </c>
      <c r="L5" s="38">
        <v>39.590000000000003</v>
      </c>
      <c r="M5" s="38">
        <v>39.590000000000003</v>
      </c>
      <c r="N5" s="38">
        <v>39.590000000000003</v>
      </c>
      <c r="O5" s="38">
        <v>39.590000000000003</v>
      </c>
      <c r="P5" s="38">
        <v>39.590000000000003</v>
      </c>
      <c r="Q5" s="38">
        <v>39.590000000000003</v>
      </c>
      <c r="R5" s="38">
        <v>39.590000000000003</v>
      </c>
      <c r="S5" s="38">
        <v>39.590000000000003</v>
      </c>
      <c r="T5" s="38">
        <v>39.590000000000003</v>
      </c>
      <c r="U5" s="38">
        <v>43.39</v>
      </c>
      <c r="V5" s="38">
        <v>43.39</v>
      </c>
      <c r="W5" s="38">
        <v>43.39</v>
      </c>
      <c r="X5" s="38">
        <v>43.39</v>
      </c>
      <c r="Y5" s="38">
        <v>43.39</v>
      </c>
      <c r="Z5" s="38">
        <v>43.39</v>
      </c>
      <c r="AA5" s="38">
        <v>44.12</v>
      </c>
      <c r="AB5" s="38">
        <v>44.12</v>
      </c>
      <c r="AC5" s="38">
        <v>44.12</v>
      </c>
      <c r="AD5" s="38">
        <v>44.12</v>
      </c>
      <c r="AE5" s="38">
        <v>44.12</v>
      </c>
      <c r="AF5" s="38">
        <v>44.12</v>
      </c>
      <c r="AG5" s="38">
        <v>44.12</v>
      </c>
      <c r="AH5" s="38">
        <v>44.12</v>
      </c>
      <c r="AI5" s="38">
        <v>44.12</v>
      </c>
      <c r="AJ5" s="38">
        <v>48.43</v>
      </c>
      <c r="AK5" s="38">
        <v>48.43</v>
      </c>
      <c r="AL5" s="38">
        <v>48.43</v>
      </c>
      <c r="AM5" s="4" t="s">
        <v>81</v>
      </c>
    </row>
    <row r="6" spans="1:40" ht="15" thickBot="1" x14ac:dyDescent="0.4">
      <c r="A6" s="21" t="s">
        <v>27</v>
      </c>
      <c r="B6" s="9" t="s">
        <v>46</v>
      </c>
      <c r="C6" s="38">
        <v>184.96</v>
      </c>
      <c r="D6" s="38">
        <v>184.96</v>
      </c>
      <c r="E6" s="38">
        <v>184.96</v>
      </c>
      <c r="F6" s="38">
        <v>184.96</v>
      </c>
      <c r="G6" s="38">
        <v>184.96</v>
      </c>
      <c r="H6" s="38">
        <v>184.96</v>
      </c>
      <c r="I6" s="38">
        <v>202.53</v>
      </c>
      <c r="J6" s="38">
        <v>202.53</v>
      </c>
      <c r="K6" s="38">
        <v>202.53</v>
      </c>
      <c r="L6" s="38">
        <v>202.53</v>
      </c>
      <c r="M6" s="38">
        <v>202.53</v>
      </c>
      <c r="N6" s="38">
        <v>202.53</v>
      </c>
      <c r="O6" s="38">
        <v>202.53</v>
      </c>
      <c r="P6" s="38">
        <v>202.53</v>
      </c>
      <c r="Q6" s="38">
        <v>202.53</v>
      </c>
      <c r="R6" s="38">
        <v>202.53</v>
      </c>
      <c r="S6" s="38">
        <v>202.53</v>
      </c>
      <c r="T6" s="38">
        <v>202.53</v>
      </c>
      <c r="U6" s="38">
        <v>202.53</v>
      </c>
      <c r="V6" s="38">
        <v>202.53</v>
      </c>
      <c r="W6" s="38">
        <v>202.53</v>
      </c>
      <c r="X6" s="38">
        <v>202.53</v>
      </c>
      <c r="Y6" s="38">
        <v>202.53</v>
      </c>
      <c r="Z6" s="38">
        <v>202.53</v>
      </c>
      <c r="AA6" s="38">
        <v>227.18</v>
      </c>
      <c r="AB6" s="38">
        <v>227.18</v>
      </c>
      <c r="AC6" s="38">
        <v>227.18</v>
      </c>
      <c r="AD6" s="38">
        <v>227.18</v>
      </c>
      <c r="AE6" s="38">
        <v>227.18</v>
      </c>
      <c r="AF6" s="38">
        <v>227.18</v>
      </c>
      <c r="AG6" s="38">
        <v>227.18</v>
      </c>
      <c r="AH6" s="38">
        <v>227.18</v>
      </c>
      <c r="AI6" s="38">
        <v>227.18</v>
      </c>
      <c r="AJ6" s="38">
        <v>227.18</v>
      </c>
      <c r="AK6" s="38">
        <v>227.18</v>
      </c>
      <c r="AL6" s="38">
        <v>227.18</v>
      </c>
      <c r="AM6" s="4" t="s">
        <v>82</v>
      </c>
    </row>
    <row r="7" spans="1:40" ht="15" thickBot="1" x14ac:dyDescent="0.4">
      <c r="A7" s="21" t="s">
        <v>29</v>
      </c>
      <c r="B7" s="9" t="s">
        <v>48</v>
      </c>
      <c r="C7" s="38">
        <v>2889.93</v>
      </c>
      <c r="D7" s="38">
        <v>2889.93</v>
      </c>
      <c r="E7" s="38">
        <v>2889.93</v>
      </c>
      <c r="F7" s="38">
        <v>2889.93</v>
      </c>
      <c r="G7" s="38">
        <v>2889.93</v>
      </c>
      <c r="H7" s="38">
        <v>2889.93</v>
      </c>
      <c r="I7" s="38">
        <v>3164.47</v>
      </c>
      <c r="J7" s="38">
        <v>3164.47</v>
      </c>
      <c r="K7" s="38">
        <v>3164.47</v>
      </c>
      <c r="L7" s="38">
        <v>3164.47</v>
      </c>
      <c r="M7" s="38">
        <v>3164.47</v>
      </c>
      <c r="N7" s="38">
        <v>3164.47</v>
      </c>
      <c r="O7" s="38">
        <v>3164.47</v>
      </c>
      <c r="P7" s="38">
        <v>3164.47</v>
      </c>
      <c r="Q7" s="38">
        <v>3164.47</v>
      </c>
      <c r="R7" s="38">
        <v>3164.47</v>
      </c>
      <c r="S7" s="38">
        <v>3164.47</v>
      </c>
      <c r="T7" s="38">
        <v>3164.47</v>
      </c>
      <c r="U7" s="38">
        <v>3164.47</v>
      </c>
      <c r="V7" s="38">
        <v>3164.47</v>
      </c>
      <c r="W7" s="38">
        <v>3164.47</v>
      </c>
      <c r="X7" s="38">
        <v>3164.47</v>
      </c>
      <c r="Y7" s="38">
        <v>3164.47</v>
      </c>
      <c r="Z7" s="38">
        <v>3164.47</v>
      </c>
      <c r="AA7" s="38">
        <v>3549.74</v>
      </c>
      <c r="AB7" s="38">
        <v>3549.74</v>
      </c>
      <c r="AC7" s="38">
        <v>3549.74</v>
      </c>
      <c r="AD7" s="38">
        <v>3549.74</v>
      </c>
      <c r="AE7" s="38"/>
      <c r="AF7" s="38"/>
      <c r="AG7" s="38"/>
      <c r="AH7" s="38"/>
      <c r="AI7" s="38"/>
      <c r="AJ7" s="38">
        <v>3549.74</v>
      </c>
      <c r="AK7" s="38">
        <v>3549.74</v>
      </c>
      <c r="AL7" s="38">
        <v>3549.74</v>
      </c>
      <c r="AM7" s="4" t="s">
        <v>82</v>
      </c>
    </row>
    <row r="8" spans="1:40" ht="15" thickBot="1" x14ac:dyDescent="0.4">
      <c r="A8" s="21" t="s">
        <v>24</v>
      </c>
      <c r="B8" s="9" t="s">
        <v>47</v>
      </c>
      <c r="C8" s="38">
        <v>9.81</v>
      </c>
      <c r="D8" s="38">
        <v>10.08</v>
      </c>
      <c r="E8" s="38">
        <v>10.55</v>
      </c>
      <c r="F8" s="38">
        <v>10.55</v>
      </c>
      <c r="G8" s="38">
        <v>10.55</v>
      </c>
      <c r="H8" s="38">
        <v>10.55</v>
      </c>
      <c r="I8" s="38">
        <v>10.55</v>
      </c>
      <c r="J8" s="38">
        <v>10.55</v>
      </c>
      <c r="K8" s="38">
        <v>10.55</v>
      </c>
      <c r="L8" s="38">
        <v>10.55</v>
      </c>
      <c r="M8" s="38">
        <v>10.55</v>
      </c>
      <c r="N8" s="38">
        <v>10.55</v>
      </c>
      <c r="O8" s="38">
        <v>11.08</v>
      </c>
      <c r="P8" s="38">
        <v>11.08</v>
      </c>
      <c r="Q8" s="38">
        <v>11.08</v>
      </c>
      <c r="R8" s="38">
        <v>11.08</v>
      </c>
      <c r="S8" s="38">
        <v>11.08</v>
      </c>
      <c r="T8" s="38">
        <v>11.08</v>
      </c>
      <c r="U8" s="38">
        <v>11.08</v>
      </c>
      <c r="V8" s="38">
        <v>11.08</v>
      </c>
      <c r="W8" s="38">
        <v>11.08</v>
      </c>
      <c r="X8" s="38">
        <v>11.08</v>
      </c>
      <c r="Y8" s="38">
        <v>11.08</v>
      </c>
      <c r="Z8" s="38">
        <v>11.08</v>
      </c>
      <c r="AA8" s="38">
        <v>11.08</v>
      </c>
      <c r="AB8" s="38">
        <v>11.08</v>
      </c>
      <c r="AC8" s="38">
        <v>11.08</v>
      </c>
      <c r="AD8" s="38">
        <v>11.08</v>
      </c>
      <c r="AE8" s="38">
        <v>11.08</v>
      </c>
      <c r="AF8" s="38">
        <v>11.08</v>
      </c>
      <c r="AG8" s="38">
        <v>11.08</v>
      </c>
      <c r="AH8" s="38">
        <v>11.08</v>
      </c>
      <c r="AI8" s="38">
        <v>11.08</v>
      </c>
      <c r="AJ8" s="38">
        <v>11.08</v>
      </c>
      <c r="AK8" s="38">
        <v>11.08</v>
      </c>
      <c r="AL8" s="38">
        <v>11.08</v>
      </c>
      <c r="AM8" s="4" t="s">
        <v>82</v>
      </c>
    </row>
    <row r="9" spans="1:40" ht="29.5" thickBot="1" x14ac:dyDescent="0.4">
      <c r="A9" s="21" t="s">
        <v>21</v>
      </c>
      <c r="B9" s="9" t="s">
        <v>47</v>
      </c>
      <c r="C9" s="38">
        <v>5.44</v>
      </c>
      <c r="D9" s="38">
        <v>5.44</v>
      </c>
      <c r="E9" s="38">
        <v>5.7</v>
      </c>
      <c r="F9" s="38">
        <v>5.7</v>
      </c>
      <c r="G9" s="38">
        <v>5.7</v>
      </c>
      <c r="H9" s="38">
        <v>5.7</v>
      </c>
      <c r="I9" s="38">
        <v>5.7</v>
      </c>
      <c r="J9" s="38">
        <v>5.7</v>
      </c>
      <c r="K9" s="38">
        <v>5.7</v>
      </c>
      <c r="L9" s="38">
        <v>5.7</v>
      </c>
      <c r="M9" s="38">
        <v>5.7</v>
      </c>
      <c r="N9" s="38">
        <v>5.7</v>
      </c>
      <c r="O9" s="38">
        <v>5.98</v>
      </c>
      <c r="P9" s="38">
        <v>5.98</v>
      </c>
      <c r="Q9" s="38">
        <v>5.98</v>
      </c>
      <c r="R9" s="38">
        <v>5.98</v>
      </c>
      <c r="S9" s="38">
        <v>5.98</v>
      </c>
      <c r="T9" s="38">
        <v>5.98</v>
      </c>
      <c r="U9" s="38">
        <v>5.98</v>
      </c>
      <c r="V9" s="38">
        <v>5.98</v>
      </c>
      <c r="W9" s="38">
        <v>5.98</v>
      </c>
      <c r="X9" s="38">
        <v>5.98</v>
      </c>
      <c r="Y9" s="38">
        <v>5.98</v>
      </c>
      <c r="Z9" s="38">
        <v>5.98</v>
      </c>
      <c r="AA9" s="38">
        <v>5.98</v>
      </c>
      <c r="AB9" s="38">
        <v>5.98</v>
      </c>
      <c r="AC9" s="38">
        <v>5.98</v>
      </c>
      <c r="AD9" s="38">
        <v>5.98</v>
      </c>
      <c r="AE9" s="38">
        <v>5.98</v>
      </c>
      <c r="AF9" s="38">
        <v>5.98</v>
      </c>
      <c r="AG9" s="38">
        <v>5.98</v>
      </c>
      <c r="AH9" s="38">
        <v>5.98</v>
      </c>
      <c r="AI9" s="38">
        <v>5.98</v>
      </c>
      <c r="AJ9" s="38">
        <v>5.98</v>
      </c>
      <c r="AK9" s="38">
        <v>5.98</v>
      </c>
      <c r="AL9" s="38">
        <v>5.98</v>
      </c>
      <c r="AM9" s="4" t="s">
        <v>82</v>
      </c>
    </row>
    <row r="10" spans="1:40" ht="48.5" thickBot="1" x14ac:dyDescent="0.4">
      <c r="A10" s="21" t="s">
        <v>31</v>
      </c>
      <c r="B10" s="9" t="s">
        <v>49</v>
      </c>
      <c r="C10" s="38">
        <f>$C$38</f>
        <v>132.34105224799995</v>
      </c>
      <c r="D10" s="38">
        <f t="shared" ref="D10:H10" si="0">$C$38</f>
        <v>132.34105224799995</v>
      </c>
      <c r="E10" s="38">
        <f t="shared" si="0"/>
        <v>132.34105224799995</v>
      </c>
      <c r="F10" s="38">
        <f t="shared" si="0"/>
        <v>132.34105224799995</v>
      </c>
      <c r="G10" s="38">
        <f t="shared" si="0"/>
        <v>132.34105224799995</v>
      </c>
      <c r="H10" s="38">
        <f t="shared" si="0"/>
        <v>132.34105224799995</v>
      </c>
      <c r="I10" s="38">
        <f>$I$38</f>
        <v>144.91470621139999</v>
      </c>
      <c r="J10" s="38">
        <f t="shared" ref="J10:N10" si="1">$I$38</f>
        <v>144.91470621139999</v>
      </c>
      <c r="K10" s="38">
        <f t="shared" si="1"/>
        <v>144.91470621139999</v>
      </c>
      <c r="L10" s="38">
        <f t="shared" si="1"/>
        <v>144.91470621139999</v>
      </c>
      <c r="M10" s="38">
        <f t="shared" si="1"/>
        <v>144.91470621139999</v>
      </c>
      <c r="N10" s="38">
        <f t="shared" si="1"/>
        <v>144.91470621139999</v>
      </c>
      <c r="O10" s="38">
        <f>$O$38</f>
        <v>171.78310199199996</v>
      </c>
      <c r="P10" s="38">
        <f t="shared" ref="P10:T10" si="2">$O$38</f>
        <v>171.78310199199996</v>
      </c>
      <c r="Q10" s="38">
        <f t="shared" si="2"/>
        <v>171.78310199199996</v>
      </c>
      <c r="R10" s="38">
        <f t="shared" si="2"/>
        <v>171.78310199199996</v>
      </c>
      <c r="S10" s="38">
        <f t="shared" si="2"/>
        <v>171.78310199199996</v>
      </c>
      <c r="T10" s="38">
        <f t="shared" si="2"/>
        <v>171.78310199199996</v>
      </c>
      <c r="U10" s="38">
        <f>$U$38</f>
        <v>158.82299893999999</v>
      </c>
      <c r="V10" s="38">
        <f t="shared" ref="V10:Z10" si="3">$U$38</f>
        <v>158.82299893999999</v>
      </c>
      <c r="W10" s="38">
        <f t="shared" si="3"/>
        <v>158.82299893999999</v>
      </c>
      <c r="X10" s="38">
        <f t="shared" si="3"/>
        <v>158.82299893999999</v>
      </c>
      <c r="Y10" s="38">
        <f t="shared" si="3"/>
        <v>158.82299893999999</v>
      </c>
      <c r="Z10" s="38">
        <f t="shared" si="3"/>
        <v>158.82299893999999</v>
      </c>
      <c r="AA10" s="38">
        <f>$AA$38</f>
        <v>161.52257251624999</v>
      </c>
      <c r="AB10" s="38">
        <f t="shared" ref="AB10:AF10" si="4">$AA$38</f>
        <v>161.52257251624999</v>
      </c>
      <c r="AC10" s="38">
        <f t="shared" si="4"/>
        <v>161.52257251624999</v>
      </c>
      <c r="AD10" s="38">
        <f t="shared" si="4"/>
        <v>161.52257251624999</v>
      </c>
      <c r="AE10" s="38">
        <f t="shared" si="4"/>
        <v>161.52257251624999</v>
      </c>
      <c r="AF10" s="38">
        <f t="shared" si="4"/>
        <v>161.52257251624999</v>
      </c>
      <c r="AG10" s="38">
        <f>$AG$38</f>
        <v>161.52257251624999</v>
      </c>
      <c r="AH10" s="38">
        <f t="shared" ref="AH10:AL10" si="5">$AG$38</f>
        <v>161.52257251624999</v>
      </c>
      <c r="AI10" s="38">
        <f t="shared" si="5"/>
        <v>161.52257251624999</v>
      </c>
      <c r="AJ10" s="38">
        <f t="shared" si="5"/>
        <v>161.52257251624999</v>
      </c>
      <c r="AK10" s="38">
        <f t="shared" si="5"/>
        <v>161.52257251624999</v>
      </c>
      <c r="AL10" s="38">
        <f t="shared" si="5"/>
        <v>161.52257251624999</v>
      </c>
      <c r="AM10" s="4" t="s">
        <v>83</v>
      </c>
      <c r="AN10" s="107" t="s">
        <v>154</v>
      </c>
    </row>
    <row r="11" spans="1:40" ht="15" thickBot="1" x14ac:dyDescent="0.4">
      <c r="A11" s="21" t="s">
        <v>34</v>
      </c>
      <c r="B11" s="9" t="s">
        <v>47</v>
      </c>
      <c r="C11" s="38">
        <v>12.61</v>
      </c>
      <c r="D11" s="38">
        <v>12.61</v>
      </c>
      <c r="E11" s="38">
        <v>12.61</v>
      </c>
      <c r="F11" s="38">
        <v>12.61</v>
      </c>
      <c r="G11" s="38">
        <v>12.61</v>
      </c>
      <c r="H11" s="38">
        <v>12.61</v>
      </c>
      <c r="I11" s="38">
        <v>12.61</v>
      </c>
      <c r="J11" s="38">
        <v>14.08</v>
      </c>
      <c r="K11" s="38">
        <v>14.08</v>
      </c>
      <c r="L11" s="38">
        <v>14.08</v>
      </c>
      <c r="M11" s="38">
        <v>14.08</v>
      </c>
      <c r="N11" s="38">
        <v>14.08</v>
      </c>
      <c r="O11" s="38">
        <v>14.08</v>
      </c>
      <c r="P11" s="38">
        <v>14.08</v>
      </c>
      <c r="Q11" s="38">
        <v>14.08</v>
      </c>
      <c r="R11" s="38">
        <v>14.08</v>
      </c>
      <c r="S11" s="38">
        <v>14.08</v>
      </c>
      <c r="T11" s="38">
        <v>14.08</v>
      </c>
      <c r="U11" s="38">
        <v>14.08</v>
      </c>
      <c r="V11" s="38">
        <v>14.08</v>
      </c>
      <c r="W11" s="38">
        <v>14.08</v>
      </c>
      <c r="X11" s="38">
        <v>14.08</v>
      </c>
      <c r="Y11" s="38">
        <v>14.08</v>
      </c>
      <c r="Z11" s="38">
        <v>15.15</v>
      </c>
      <c r="AA11" s="38">
        <v>15.15</v>
      </c>
      <c r="AB11" s="38">
        <v>15.15</v>
      </c>
      <c r="AC11" s="38">
        <v>15.15</v>
      </c>
      <c r="AD11" s="38">
        <v>15.15</v>
      </c>
      <c r="AE11" s="38">
        <v>15.15</v>
      </c>
      <c r="AF11" s="38">
        <v>15.15</v>
      </c>
      <c r="AG11" s="38">
        <v>15.15</v>
      </c>
      <c r="AH11" s="38">
        <v>15.15</v>
      </c>
      <c r="AI11" s="38">
        <v>15.15</v>
      </c>
      <c r="AJ11" s="38">
        <v>15.15</v>
      </c>
      <c r="AK11" s="38">
        <v>15.15</v>
      </c>
      <c r="AL11" s="38">
        <v>15.15</v>
      </c>
      <c r="AM11" s="4" t="s">
        <v>156</v>
      </c>
      <c r="AN11" s="107" t="s">
        <v>155</v>
      </c>
    </row>
    <row r="12" spans="1:40" x14ac:dyDescent="0.35">
      <c r="A12" s="11"/>
    </row>
    <row r="13" spans="1:40" x14ac:dyDescent="0.35">
      <c r="A13" s="11"/>
    </row>
    <row r="15" spans="1:40" x14ac:dyDescent="0.35">
      <c r="A15" s="5" t="s">
        <v>84</v>
      </c>
    </row>
    <row r="16" spans="1:40" x14ac:dyDescent="0.35">
      <c r="A16" s="11" t="s">
        <v>15</v>
      </c>
      <c r="B16" s="3" t="s">
        <v>45</v>
      </c>
      <c r="C16" s="12">
        <f>tariffs!$C$29</f>
        <v>846</v>
      </c>
      <c r="D16" s="12">
        <f>tariffs!$C$30</f>
        <v>761</v>
      </c>
      <c r="E16" s="12">
        <f>tariffs!$C$30</f>
        <v>761</v>
      </c>
      <c r="F16" s="12">
        <f>tariffs!$C$30</f>
        <v>761</v>
      </c>
      <c r="G16" s="12">
        <f>tariffs!$C$29</f>
        <v>846</v>
      </c>
      <c r="H16" s="12">
        <f>tariffs!$C$31</f>
        <v>931</v>
      </c>
      <c r="I16" s="12">
        <f>tariffs!$C$31</f>
        <v>931</v>
      </c>
      <c r="J16" s="12">
        <f>tariffs!$C$31</f>
        <v>931</v>
      </c>
      <c r="K16" s="12">
        <f>tariffs!$C$29</f>
        <v>846</v>
      </c>
      <c r="L16" s="12">
        <f>tariffs!$C$29</f>
        <v>846</v>
      </c>
      <c r="M16" s="12">
        <f>tariffs!$C$29</f>
        <v>846</v>
      </c>
      <c r="N16" s="12">
        <f>tariffs!$C$29</f>
        <v>846</v>
      </c>
      <c r="O16" s="12">
        <f>$C$16</f>
        <v>846</v>
      </c>
      <c r="P16" s="12">
        <f>$D$16</f>
        <v>761</v>
      </c>
      <c r="Q16" s="12">
        <f>$E$16</f>
        <v>761</v>
      </c>
      <c r="R16" s="12">
        <f>$F$16</f>
        <v>761</v>
      </c>
      <c r="S16" s="12">
        <f>$G$16</f>
        <v>846</v>
      </c>
      <c r="T16" s="12">
        <f>$H$16</f>
        <v>931</v>
      </c>
      <c r="U16" s="12">
        <f>$I$16</f>
        <v>931</v>
      </c>
      <c r="V16" s="12">
        <f>$J$16</f>
        <v>931</v>
      </c>
      <c r="W16" s="12">
        <f>$K$16</f>
        <v>846</v>
      </c>
      <c r="X16" s="12">
        <f>$L$16</f>
        <v>846</v>
      </c>
      <c r="Y16" s="12">
        <f>$M$16</f>
        <v>846</v>
      </c>
      <c r="Z16" s="12">
        <f>$N$16</f>
        <v>846</v>
      </c>
      <c r="AA16" s="12">
        <f>$C$16</f>
        <v>846</v>
      </c>
      <c r="AB16" s="12">
        <f>$D$16</f>
        <v>761</v>
      </c>
      <c r="AC16" s="12">
        <f>$E$16</f>
        <v>761</v>
      </c>
      <c r="AD16" s="12">
        <f>$F$16</f>
        <v>761</v>
      </c>
      <c r="AE16" s="12">
        <f>$G$16</f>
        <v>846</v>
      </c>
      <c r="AF16" s="12">
        <f>$H$16</f>
        <v>931</v>
      </c>
      <c r="AG16" s="12">
        <f>$I$16</f>
        <v>931</v>
      </c>
      <c r="AH16" s="12">
        <f>$J$16</f>
        <v>931</v>
      </c>
      <c r="AI16" s="12">
        <f>$K$16</f>
        <v>846</v>
      </c>
      <c r="AJ16" s="12">
        <f>$L$16</f>
        <v>846</v>
      </c>
      <c r="AK16" s="12">
        <f>$M$16</f>
        <v>846</v>
      </c>
      <c r="AL16" s="12">
        <f>$N$16</f>
        <v>846</v>
      </c>
      <c r="AM16" s="11" t="s">
        <v>85</v>
      </c>
    </row>
    <row r="17" spans="1:39" x14ac:dyDescent="0.35">
      <c r="A17" s="11" t="s">
        <v>157</v>
      </c>
      <c r="B17" s="3" t="s">
        <v>46</v>
      </c>
      <c r="C17" s="12">
        <f>info!$B$7/info!$B$8*59.052</f>
        <v>0.67909799999999998</v>
      </c>
      <c r="D17" s="12">
        <f>info!$B$7/info!$B$8*59.052</f>
        <v>0.67909799999999998</v>
      </c>
      <c r="E17" s="12">
        <f>info!$B$7/info!$B$8*59.052</f>
        <v>0.67909799999999998</v>
      </c>
      <c r="F17" s="12">
        <f>info!$B$7/info!$B$8*59.052</f>
        <v>0.67909799999999998</v>
      </c>
      <c r="G17" s="12">
        <f>info!$B$7/info!$B$8*59.052</f>
        <v>0.67909799999999998</v>
      </c>
      <c r="H17" s="12">
        <f>info!$B$7/info!$B$8*59.052</f>
        <v>0.67909799999999998</v>
      </c>
      <c r="I17" s="12">
        <f>info!$B$7/info!$B$8*59.052</f>
        <v>0.67909799999999998</v>
      </c>
      <c r="J17" s="12">
        <f>info!$B$7/info!$B$8*59.052</f>
        <v>0.67909799999999998</v>
      </c>
      <c r="K17" s="12">
        <f>info!$B$7/info!$B$8*59.052</f>
        <v>0.67909799999999998</v>
      </c>
      <c r="L17" s="12">
        <f>info!$B$7/info!$B$8*59.052</f>
        <v>0.67909799999999998</v>
      </c>
      <c r="M17" s="12">
        <f>info!$B$7/info!$B$8*59.052</f>
        <v>0.67909799999999998</v>
      </c>
      <c r="N17" s="12">
        <f>info!$B$7/info!$B$8*59.052</f>
        <v>0.67909799999999998</v>
      </c>
      <c r="O17" s="12">
        <f>info!$B$7/info!$B$8*59.052</f>
        <v>0.67909799999999998</v>
      </c>
      <c r="P17" s="12">
        <f>info!$B$7/info!$B$8*59.052</f>
        <v>0.67909799999999998</v>
      </c>
      <c r="Q17" s="12">
        <f>info!$B$7/info!$B$8*59.052</f>
        <v>0.67909799999999998</v>
      </c>
      <c r="R17" s="12">
        <f>info!$B$7/info!$B$8*59.052</f>
        <v>0.67909799999999998</v>
      </c>
      <c r="S17" s="12">
        <f>info!$B$7/info!$B$8*59.052</f>
        <v>0.67909799999999998</v>
      </c>
      <c r="T17" s="12">
        <f>info!$B$7/info!$B$8*59.052</f>
        <v>0.67909799999999998</v>
      </c>
      <c r="U17" s="12">
        <f>info!$B$7/info!$B$8*59.052</f>
        <v>0.67909799999999998</v>
      </c>
      <c r="V17" s="12">
        <f>info!$B$7/info!$B$8*59.052</f>
        <v>0.67909799999999998</v>
      </c>
      <c r="W17" s="12">
        <f>info!$B$7/info!$B$8*59.052</f>
        <v>0.67909799999999998</v>
      </c>
      <c r="X17" s="12">
        <f>info!$B$7/info!$B$8*59.052</f>
        <v>0.67909799999999998</v>
      </c>
      <c r="Y17" s="12">
        <f>info!$B$7/info!$B$8*59.052</f>
        <v>0.67909799999999998</v>
      </c>
      <c r="Z17" s="12">
        <f>info!$B$7/info!$B$8*59.052</f>
        <v>0.67909799999999998</v>
      </c>
      <c r="AA17" s="12">
        <f>info!$B$7/info!$B$8*59.052</f>
        <v>0.67909799999999998</v>
      </c>
      <c r="AB17" s="12">
        <f>info!$B$7/info!$B$8*59.052</f>
        <v>0.67909799999999998</v>
      </c>
      <c r="AC17" s="12">
        <f>info!$B$7/info!$B$8*59.052</f>
        <v>0.67909799999999998</v>
      </c>
      <c r="AD17" s="12">
        <f>info!$B$7/info!$B$8*59.052</f>
        <v>0.67909799999999998</v>
      </c>
      <c r="AE17" s="12">
        <f>info!$B$7/info!$B$8*59.052</f>
        <v>0.67909799999999998</v>
      </c>
      <c r="AF17" s="12">
        <f>info!$B$7/info!$B$8*59.052</f>
        <v>0.67909799999999998</v>
      </c>
      <c r="AG17" s="12">
        <f>info!$B$7/info!$B$8*59.052</f>
        <v>0.67909799999999998</v>
      </c>
      <c r="AH17" s="12">
        <f>info!$B$7/info!$B$8*59.052</f>
        <v>0.67909799999999998</v>
      </c>
      <c r="AI17" s="12">
        <f>info!$B$7/info!$B$8*59.052</f>
        <v>0.67909799999999998</v>
      </c>
      <c r="AJ17" s="12">
        <f>info!$B$7/info!$B$8*59.052</f>
        <v>0.67909799999999998</v>
      </c>
      <c r="AK17" s="12">
        <f>info!$B$7/info!$B$8*59.052</f>
        <v>0.67909799999999998</v>
      </c>
      <c r="AL17" s="12">
        <f>info!$B$7/info!$B$8*59.052</f>
        <v>0.67909799999999998</v>
      </c>
      <c r="AM17" s="11" t="s">
        <v>82</v>
      </c>
    </row>
    <row r="18" spans="1:39" x14ac:dyDescent="0.35">
      <c r="A18" s="11" t="s">
        <v>27</v>
      </c>
      <c r="B18" s="3" t="s">
        <v>46</v>
      </c>
      <c r="C18" s="12">
        <v>16.2</v>
      </c>
      <c r="D18" s="12">
        <v>16.2</v>
      </c>
      <c r="E18" s="12">
        <v>16.2</v>
      </c>
      <c r="F18" s="12">
        <v>16.2</v>
      </c>
      <c r="G18" s="12">
        <v>16.2</v>
      </c>
      <c r="H18" s="12">
        <v>16.2</v>
      </c>
      <c r="I18" s="12">
        <v>16.2</v>
      </c>
      <c r="J18" s="12">
        <v>16.2</v>
      </c>
      <c r="K18" s="12">
        <v>16.2</v>
      </c>
      <c r="L18" s="12">
        <v>16.2</v>
      </c>
      <c r="M18" s="12">
        <v>16.2</v>
      </c>
      <c r="N18" s="12">
        <v>16.2</v>
      </c>
      <c r="O18" s="12">
        <v>16.2</v>
      </c>
      <c r="P18" s="12">
        <v>16.2</v>
      </c>
      <c r="Q18" s="12">
        <v>16.2</v>
      </c>
      <c r="R18" s="12">
        <v>16.2</v>
      </c>
      <c r="S18" s="12">
        <v>16.2</v>
      </c>
      <c r="T18" s="12">
        <v>16.2</v>
      </c>
      <c r="U18" s="12">
        <v>16.2</v>
      </c>
      <c r="V18" s="12">
        <v>16.2</v>
      </c>
      <c r="W18" s="12">
        <v>16.2</v>
      </c>
      <c r="X18" s="12">
        <v>16.2</v>
      </c>
      <c r="Y18" s="12">
        <v>16.2</v>
      </c>
      <c r="Z18" s="12">
        <v>16.2</v>
      </c>
      <c r="AA18" s="12">
        <v>16.2</v>
      </c>
      <c r="AB18" s="12">
        <v>16.2</v>
      </c>
      <c r="AC18" s="12">
        <v>16.2</v>
      </c>
      <c r="AD18" s="12">
        <v>16.2</v>
      </c>
      <c r="AE18" s="12">
        <v>16.2</v>
      </c>
      <c r="AF18" s="12">
        <v>16.2</v>
      </c>
      <c r="AG18" s="12">
        <v>16.2</v>
      </c>
      <c r="AH18" s="12">
        <v>16.2</v>
      </c>
      <c r="AI18" s="12">
        <v>16.2</v>
      </c>
      <c r="AJ18" s="12">
        <v>16.2</v>
      </c>
      <c r="AK18" s="12">
        <v>16.2</v>
      </c>
      <c r="AL18" s="12">
        <v>16.2</v>
      </c>
      <c r="AM18" s="3" t="s">
        <v>161</v>
      </c>
    </row>
    <row r="19" spans="1:39" ht="29" x14ac:dyDescent="0.35">
      <c r="A19" s="11" t="s">
        <v>158</v>
      </c>
      <c r="B19" s="3" t="s">
        <v>45</v>
      </c>
      <c r="C19" s="12">
        <f>info!$B$7/info!$B$8*2333</f>
        <v>26.829499999999999</v>
      </c>
      <c r="D19" s="12">
        <f>info!$B$7/info!$B$8*2333</f>
        <v>26.829499999999999</v>
      </c>
      <c r="E19" s="12">
        <f>info!$B$7/info!$B$8*2333</f>
        <v>26.829499999999999</v>
      </c>
      <c r="F19" s="12">
        <f>info!$B$7/info!$B$8*2333</f>
        <v>26.829499999999999</v>
      </c>
      <c r="G19" s="12">
        <f>info!$B$7/info!$B$8*2333</f>
        <v>26.829499999999999</v>
      </c>
      <c r="H19" s="12">
        <f>info!$B$7/info!$B$8*2333</f>
        <v>26.829499999999999</v>
      </c>
      <c r="I19" s="12">
        <f>info!$B$7/info!$B$8*2333</f>
        <v>26.829499999999999</v>
      </c>
      <c r="J19" s="12">
        <f>info!$B$7/info!$B$8*2333</f>
        <v>26.829499999999999</v>
      </c>
      <c r="K19" s="12">
        <f>info!$B$7/info!$B$8*2333</f>
        <v>26.829499999999999</v>
      </c>
      <c r="L19" s="12">
        <f>info!$B$7/info!$B$8*2333</f>
        <v>26.829499999999999</v>
      </c>
      <c r="M19" s="12">
        <f>info!$B$7/info!$B$8*2333</f>
        <v>26.829499999999999</v>
      </c>
      <c r="N19" s="12">
        <f>info!$B$7/info!$B$8*2333</f>
        <v>26.829499999999999</v>
      </c>
      <c r="O19" s="12">
        <f>info!$B$7/info!$B$8*2333</f>
        <v>26.829499999999999</v>
      </c>
      <c r="P19" s="12">
        <f>info!$B$7/info!$B$8*2333</f>
        <v>26.829499999999999</v>
      </c>
      <c r="Q19" s="12">
        <f>info!$B$7/info!$B$8*2333</f>
        <v>26.829499999999999</v>
      </c>
      <c r="R19" s="12">
        <f>info!$B$7/info!$B$8*2333</f>
        <v>26.829499999999999</v>
      </c>
      <c r="S19" s="12">
        <f>info!$B$7/info!$B$8*2333</f>
        <v>26.829499999999999</v>
      </c>
      <c r="T19" s="12">
        <f>info!$B$7/info!$B$8*2333</f>
        <v>26.829499999999999</v>
      </c>
      <c r="U19" s="12">
        <f>info!$B$7/info!$B$8*2333</f>
        <v>26.829499999999999</v>
      </c>
      <c r="V19" s="12">
        <f>info!$B$7/info!$B$8*2333</f>
        <v>26.829499999999999</v>
      </c>
      <c r="W19" s="12">
        <f>info!$B$7/info!$B$8*2333</f>
        <v>26.829499999999999</v>
      </c>
      <c r="X19" s="12">
        <f>info!$B$7/info!$B$8*2333</f>
        <v>26.829499999999999</v>
      </c>
      <c r="Y19" s="12">
        <f>info!$B$7/info!$B$8*2333</f>
        <v>26.829499999999999</v>
      </c>
      <c r="Z19" s="12">
        <f>info!$B$7/info!$B$8*2333</f>
        <v>26.829499999999999</v>
      </c>
      <c r="AA19" s="12">
        <f>info!$B$7/info!$B$8*2333</f>
        <v>26.829499999999999</v>
      </c>
      <c r="AB19" s="12">
        <f>info!$B$7/info!$B$8*2333</f>
        <v>26.829499999999999</v>
      </c>
      <c r="AC19" s="12">
        <f>info!$B$7/info!$B$8*2333</f>
        <v>26.829499999999999</v>
      </c>
      <c r="AD19" s="12">
        <f>info!$B$7/info!$B$8*2333</f>
        <v>26.829499999999999</v>
      </c>
      <c r="AE19" s="12">
        <f>info!$B$7/info!$B$8*2333</f>
        <v>26.829499999999999</v>
      </c>
      <c r="AF19" s="12">
        <f>info!$B$7/info!$B$8*2333</f>
        <v>26.829499999999999</v>
      </c>
      <c r="AG19" s="12">
        <f>info!$B$7/info!$B$8*2333</f>
        <v>26.829499999999999</v>
      </c>
      <c r="AH19" s="12">
        <f>info!$B$7/info!$B$8*2333</f>
        <v>26.829499999999999</v>
      </c>
      <c r="AI19" s="12">
        <f>info!$B$7/info!$B$8*2333</f>
        <v>26.829499999999999</v>
      </c>
      <c r="AJ19" s="12">
        <f>info!$B$7/info!$B$8*2333</f>
        <v>26.829499999999999</v>
      </c>
      <c r="AK19" s="12">
        <f>info!$B$7/info!$B$8*2333</f>
        <v>26.829499999999999</v>
      </c>
      <c r="AL19" s="12">
        <f>info!$B$7/info!$B$8*2333</f>
        <v>26.829499999999999</v>
      </c>
      <c r="AM19" s="3" t="s">
        <v>82</v>
      </c>
    </row>
    <row r="20" spans="1:39" x14ac:dyDescent="0.35">
      <c r="A20" s="11" t="s">
        <v>159</v>
      </c>
      <c r="B20" s="3" t="s">
        <v>46</v>
      </c>
      <c r="C20" s="12">
        <f>info!$B$7/info!$B$8*118.104</f>
        <v>1.358196</v>
      </c>
      <c r="D20" s="12">
        <f>info!$B$7/info!$B$8*118.104</f>
        <v>1.358196</v>
      </c>
      <c r="E20" s="12">
        <f>info!$B$7/info!$B$8*118.104</f>
        <v>1.358196</v>
      </c>
      <c r="F20" s="12">
        <f>info!$B$7/info!$B$8*118.104</f>
        <v>1.358196</v>
      </c>
      <c r="G20" s="12">
        <f>info!$B$7/info!$B$8*118.104</f>
        <v>1.358196</v>
      </c>
      <c r="H20" s="12">
        <f>info!$B$7/info!$B$8*118.104</f>
        <v>1.358196</v>
      </c>
      <c r="I20" s="12">
        <f>info!$B$7/info!$B$8*118.104</f>
        <v>1.358196</v>
      </c>
      <c r="J20" s="12">
        <f>info!$B$7/info!$B$8*118.104</f>
        <v>1.358196</v>
      </c>
      <c r="K20" s="12">
        <f>info!$B$7/info!$B$8*118.104</f>
        <v>1.358196</v>
      </c>
      <c r="L20" s="12">
        <f>info!$B$7/info!$B$8*118.104</f>
        <v>1.358196</v>
      </c>
      <c r="M20" s="12">
        <f>info!$B$7/info!$B$8*118.104</f>
        <v>1.358196</v>
      </c>
      <c r="N20" s="12">
        <f>info!$B$7/info!$B$8*118.104</f>
        <v>1.358196</v>
      </c>
      <c r="O20" s="12">
        <f>info!$B$7/info!$B$8*118.104</f>
        <v>1.358196</v>
      </c>
      <c r="P20" s="12">
        <f>info!$B$7/info!$B$8*118.104</f>
        <v>1.358196</v>
      </c>
      <c r="Q20" s="12">
        <f>info!$B$7/info!$B$8*118.104</f>
        <v>1.358196</v>
      </c>
      <c r="R20" s="12">
        <f>info!$B$7/info!$B$8*118.104</f>
        <v>1.358196</v>
      </c>
      <c r="S20" s="12">
        <f>info!$B$7/info!$B$8*118.104</f>
        <v>1.358196</v>
      </c>
      <c r="T20" s="12">
        <f>info!$B$7/info!$B$8*118.104</f>
        <v>1.358196</v>
      </c>
      <c r="U20" s="12">
        <f>info!$B$7/info!$B$8*118.104</f>
        <v>1.358196</v>
      </c>
      <c r="V20" s="12">
        <f>info!$B$7/info!$B$8*118.104</f>
        <v>1.358196</v>
      </c>
      <c r="W20" s="12">
        <f>info!$B$7/info!$B$8*118.104</f>
        <v>1.358196</v>
      </c>
      <c r="X20" s="12">
        <f>info!$B$7/info!$B$8*118.104</f>
        <v>1.358196</v>
      </c>
      <c r="Y20" s="12">
        <f>info!$B$7/info!$B$8*118.104</f>
        <v>1.358196</v>
      </c>
      <c r="Z20" s="12">
        <f>info!$B$7/info!$B$8*118.104</f>
        <v>1.358196</v>
      </c>
      <c r="AA20" s="12">
        <f>info!$B$7/info!$B$8*118.104</f>
        <v>1.358196</v>
      </c>
      <c r="AB20" s="12">
        <f>info!$B$7/info!$B$8*118.104</f>
        <v>1.358196</v>
      </c>
      <c r="AC20" s="12">
        <f>info!$B$7/info!$B$8*118.104</f>
        <v>1.358196</v>
      </c>
      <c r="AD20" s="12">
        <f>info!$B$7/info!$B$8*118.104</f>
        <v>1.358196</v>
      </c>
      <c r="AE20" s="12">
        <f>info!$B$7/info!$B$8*118.104</f>
        <v>1.358196</v>
      </c>
      <c r="AF20" s="12">
        <f>info!$B$7/info!$B$8*118.104</f>
        <v>1.358196</v>
      </c>
      <c r="AG20" s="12">
        <f>info!$B$7/info!$B$8*118.104</f>
        <v>1.358196</v>
      </c>
      <c r="AH20" s="12">
        <f>info!$B$7/info!$B$8*118.104</f>
        <v>1.358196</v>
      </c>
      <c r="AI20" s="12">
        <f>info!$B$7/info!$B$8*118.104</f>
        <v>1.358196</v>
      </c>
      <c r="AJ20" s="12">
        <f>info!$B$7/info!$B$8*118.104</f>
        <v>1.358196</v>
      </c>
      <c r="AK20" s="12">
        <f>info!$B$7/info!$B$8*118.104</f>
        <v>1.358196</v>
      </c>
      <c r="AL20" s="12">
        <f>info!$B$7/info!$B$8*118.104</f>
        <v>1.358196</v>
      </c>
      <c r="AM20" s="3" t="s">
        <v>82</v>
      </c>
    </row>
    <row r="21" spans="1:39" x14ac:dyDescent="0.35">
      <c r="A21" s="11" t="s">
        <v>160</v>
      </c>
      <c r="B21" s="3" t="s">
        <v>46</v>
      </c>
      <c r="C21" s="12">
        <f>info!$B$7/info!$B$8*118.104</f>
        <v>1.358196</v>
      </c>
      <c r="D21" s="12">
        <f>info!$B$7/info!$B$8*118.104</f>
        <v>1.358196</v>
      </c>
      <c r="E21" s="12">
        <f>info!$B$7/info!$B$8*118.104</f>
        <v>1.358196</v>
      </c>
      <c r="F21" s="12">
        <f>info!$B$7/info!$B$8*118.104</f>
        <v>1.358196</v>
      </c>
      <c r="G21" s="12">
        <f>info!$B$7/info!$B$8*118.104</f>
        <v>1.358196</v>
      </c>
      <c r="H21" s="12">
        <f>info!$B$7/info!$B$8*118.104</f>
        <v>1.358196</v>
      </c>
      <c r="I21" s="12">
        <f>info!$B$7/info!$B$8*118.104</f>
        <v>1.358196</v>
      </c>
      <c r="J21" s="12">
        <f>info!$B$7/info!$B$8*118.104</f>
        <v>1.358196</v>
      </c>
      <c r="K21" s="12">
        <f>info!$B$7/info!$B$8*118.104</f>
        <v>1.358196</v>
      </c>
      <c r="L21" s="12">
        <f>info!$B$7/info!$B$8*118.104</f>
        <v>1.358196</v>
      </c>
      <c r="M21" s="12">
        <f>info!$B$7/info!$B$8*118.104</f>
        <v>1.358196</v>
      </c>
      <c r="N21" s="12">
        <f>info!$B$7/info!$B$8*118.104</f>
        <v>1.358196</v>
      </c>
      <c r="O21" s="12">
        <f>info!$B$7/info!$B$8*118.104</f>
        <v>1.358196</v>
      </c>
      <c r="P21" s="12">
        <f>info!$B$7/info!$B$8*118.104</f>
        <v>1.358196</v>
      </c>
      <c r="Q21" s="12">
        <f>info!$B$7/info!$B$8*118.104</f>
        <v>1.358196</v>
      </c>
      <c r="R21" s="12">
        <f>info!$B$7/info!$B$8*118.104</f>
        <v>1.358196</v>
      </c>
      <c r="S21" s="12">
        <f>info!$B$7/info!$B$8*118.104</f>
        <v>1.358196</v>
      </c>
      <c r="T21" s="12">
        <f>info!$B$7/info!$B$8*118.104</f>
        <v>1.358196</v>
      </c>
      <c r="U21" s="12">
        <f>info!$B$7/info!$B$8*118.104</f>
        <v>1.358196</v>
      </c>
      <c r="V21" s="12">
        <f>info!$B$7/info!$B$8*118.104</f>
        <v>1.358196</v>
      </c>
      <c r="W21" s="12">
        <f>info!$B$7/info!$B$8*118.104</f>
        <v>1.358196</v>
      </c>
      <c r="X21" s="12">
        <f>info!$B$7/info!$B$8*118.104</f>
        <v>1.358196</v>
      </c>
      <c r="Y21" s="12">
        <f>info!$B$7/info!$B$8*118.104</f>
        <v>1.358196</v>
      </c>
      <c r="Z21" s="12">
        <f>info!$B$7/info!$B$8*118.104</f>
        <v>1.358196</v>
      </c>
      <c r="AA21" s="12">
        <f>info!$B$7/info!$B$8*118.104</f>
        <v>1.358196</v>
      </c>
      <c r="AB21" s="12">
        <f>info!$B$7/info!$B$8*118.104</f>
        <v>1.358196</v>
      </c>
      <c r="AC21" s="12">
        <f>info!$B$7/info!$B$8*118.104</f>
        <v>1.358196</v>
      </c>
      <c r="AD21" s="12">
        <f>info!$B$7/info!$B$8*118.104</f>
        <v>1.358196</v>
      </c>
      <c r="AE21" s="12">
        <f>info!$B$7/info!$B$8*118.104</f>
        <v>1.358196</v>
      </c>
      <c r="AF21" s="12">
        <f>info!$B$7/info!$B$8*118.104</f>
        <v>1.358196</v>
      </c>
      <c r="AG21" s="12">
        <f>info!$B$7/info!$B$8*118.104</f>
        <v>1.358196</v>
      </c>
      <c r="AH21" s="12">
        <f>info!$B$7/info!$B$8*118.104</f>
        <v>1.358196</v>
      </c>
      <c r="AI21" s="12">
        <f>info!$B$7/info!$B$8*118.104</f>
        <v>1.358196</v>
      </c>
      <c r="AJ21" s="12">
        <f>info!$B$7/info!$B$8*118.104</f>
        <v>1.358196</v>
      </c>
      <c r="AK21" s="12">
        <f>info!$B$7/info!$B$8*118.104</f>
        <v>1.358196</v>
      </c>
      <c r="AL21" s="12">
        <f>info!$B$7/info!$B$8*118.104</f>
        <v>1.358196</v>
      </c>
      <c r="AM21" s="3" t="s">
        <v>82</v>
      </c>
    </row>
    <row r="22" spans="1:39" x14ac:dyDescent="0.35">
      <c r="A22" s="11"/>
    </row>
    <row r="24" spans="1:39" ht="29" x14ac:dyDescent="0.35">
      <c r="A24" s="13" t="s">
        <v>86</v>
      </c>
      <c r="D24" s="3" t="s">
        <v>87</v>
      </c>
      <c r="E24" s="3" t="s">
        <v>88</v>
      </c>
      <c r="F24" s="3" t="s">
        <v>89</v>
      </c>
      <c r="G24" s="3" t="s">
        <v>90</v>
      </c>
    </row>
    <row r="25" spans="1:39" x14ac:dyDescent="0.35">
      <c r="A25" s="11" t="s">
        <v>91</v>
      </c>
      <c r="B25" s="3" t="s">
        <v>49</v>
      </c>
      <c r="C25" s="68">
        <f>info!$B$6</f>
        <v>2</v>
      </c>
    </row>
    <row r="26" spans="1:39" ht="29" x14ac:dyDescent="0.35">
      <c r="A26" s="11" t="s">
        <v>92</v>
      </c>
      <c r="B26" s="3" t="s">
        <v>45</v>
      </c>
      <c r="C26" s="3">
        <f>IF(C25=1, D26, IF(C25=2,D26+E26, D26+E26+(C25-2)*F26))</f>
        <v>156</v>
      </c>
      <c r="D26" s="3">
        <v>96</v>
      </c>
      <c r="E26" s="3">
        <v>60</v>
      </c>
      <c r="F26" s="3">
        <v>40</v>
      </c>
      <c r="H26" s="14" t="s">
        <v>93</v>
      </c>
    </row>
    <row r="27" spans="1:39" x14ac:dyDescent="0.35">
      <c r="A27" s="11" t="s">
        <v>7</v>
      </c>
      <c r="B27" s="3" t="s">
        <v>45</v>
      </c>
      <c r="C27" s="3">
        <f>IF(info!B9="да", MAX(D27*C25,G27), 0)</f>
        <v>90</v>
      </c>
      <c r="D27" s="3">
        <v>43</v>
      </c>
      <c r="E27" s="3">
        <v>43</v>
      </c>
      <c r="F27" s="3">
        <v>43</v>
      </c>
      <c r="G27" s="3">
        <v>90</v>
      </c>
      <c r="H27" s="14" t="s">
        <v>94</v>
      </c>
    </row>
    <row r="28" spans="1:39" x14ac:dyDescent="0.35">
      <c r="A28" s="11" t="s">
        <v>95</v>
      </c>
      <c r="B28" s="3" t="s">
        <v>45</v>
      </c>
      <c r="C28" s="3">
        <f>IF(info!B10="да", D28*C25, 0)</f>
        <v>600</v>
      </c>
      <c r="D28" s="3">
        <v>300</v>
      </c>
      <c r="E28" s="3">
        <v>300</v>
      </c>
      <c r="F28" s="3">
        <v>300</v>
      </c>
      <c r="H28" s="14" t="s">
        <v>96</v>
      </c>
    </row>
    <row r="29" spans="1:39" x14ac:dyDescent="0.35">
      <c r="A29" s="11" t="s">
        <v>97</v>
      </c>
      <c r="B29" s="3" t="s">
        <v>45</v>
      </c>
      <c r="C29" s="3">
        <f>SUM(C26:C28)</f>
        <v>846</v>
      </c>
    </row>
    <row r="30" spans="1:39" ht="29" x14ac:dyDescent="0.35">
      <c r="A30" s="11" t="s">
        <v>98</v>
      </c>
      <c r="B30" s="3" t="s">
        <v>45</v>
      </c>
      <c r="C30" s="3">
        <f>ROUND($C$29*0.9, 0)</f>
        <v>761</v>
      </c>
      <c r="D30" s="14"/>
    </row>
    <row r="31" spans="1:39" ht="29" x14ac:dyDescent="0.35">
      <c r="A31" s="11" t="s">
        <v>99</v>
      </c>
      <c r="B31" s="3" t="s">
        <v>45</v>
      </c>
      <c r="C31" s="3">
        <f>ROUND($C$29*1.1, 0)</f>
        <v>931</v>
      </c>
      <c r="D31" s="14"/>
    </row>
    <row r="32" spans="1:39" x14ac:dyDescent="0.35">
      <c r="A32" s="11"/>
    </row>
    <row r="33" spans="1:33" x14ac:dyDescent="0.35">
      <c r="A33" s="11"/>
    </row>
    <row r="34" spans="1:33" ht="43.5" x14ac:dyDescent="0.35">
      <c r="A34" s="13" t="s">
        <v>100</v>
      </c>
      <c r="C34" s="3" t="s">
        <v>101</v>
      </c>
      <c r="I34" s="3" t="s">
        <v>102</v>
      </c>
      <c r="O34" s="3" t="s">
        <v>103</v>
      </c>
      <c r="U34" s="3" t="s">
        <v>104</v>
      </c>
      <c r="AA34" s="3" t="s">
        <v>150</v>
      </c>
      <c r="AG34" s="3" t="s">
        <v>151</v>
      </c>
    </row>
    <row r="35" spans="1:33" x14ac:dyDescent="0.35">
      <c r="A35" s="11" t="s">
        <v>105</v>
      </c>
      <c r="B35" s="3" t="s">
        <v>106</v>
      </c>
      <c r="C35" s="3">
        <v>697.64</v>
      </c>
      <c r="I35" s="3">
        <v>1246.3399999999999</v>
      </c>
      <c r="O35" s="12">
        <v>905.56</v>
      </c>
      <c r="U35" s="12">
        <v>905.56</v>
      </c>
      <c r="AA35" s="3">
        <v>702.35</v>
      </c>
      <c r="AG35" s="3">
        <v>702.35</v>
      </c>
    </row>
    <row r="36" spans="1:33" ht="29" x14ac:dyDescent="0.35">
      <c r="A36" s="11" t="s">
        <v>107</v>
      </c>
      <c r="C36" s="3">
        <v>0.75127999999999995</v>
      </c>
      <c r="I36" s="3">
        <v>0.460484</v>
      </c>
      <c r="O36" s="3">
        <v>0.75127999999999995</v>
      </c>
      <c r="U36" s="3">
        <v>0.6946</v>
      </c>
      <c r="AA36" s="3">
        <v>0.91078999999999999</v>
      </c>
      <c r="AG36" s="3">
        <v>0.91078999999999999</v>
      </c>
    </row>
    <row r="37" spans="1:33" x14ac:dyDescent="0.35">
      <c r="A37" s="11" t="s">
        <v>108</v>
      </c>
      <c r="B37" s="3" t="s">
        <v>109</v>
      </c>
      <c r="C37" s="3">
        <v>3.03</v>
      </c>
      <c r="I37" s="3">
        <v>3.03</v>
      </c>
      <c r="O37" s="3">
        <v>3.03</v>
      </c>
      <c r="U37" s="3">
        <v>3.03</v>
      </c>
      <c r="AA37" s="3">
        <v>3.03</v>
      </c>
      <c r="AG37" s="3">
        <v>3.03</v>
      </c>
    </row>
    <row r="38" spans="1:33" x14ac:dyDescent="0.35">
      <c r="A38" s="11" t="s">
        <v>110</v>
      </c>
      <c r="B38" s="3" t="s">
        <v>111</v>
      </c>
      <c r="C38" s="111">
        <f>C37*C36*C35/12</f>
        <v>132.34105224799995</v>
      </c>
      <c r="I38" s="111">
        <f>I37*I36*I35/12</f>
        <v>144.91470621139999</v>
      </c>
      <c r="O38" s="111">
        <f>O37*O36*O35/12</f>
        <v>171.78310199199996</v>
      </c>
      <c r="U38" s="111">
        <f>U37*U36*U35/12</f>
        <v>158.82299893999999</v>
      </c>
      <c r="AA38" s="111">
        <f t="shared" ref="AA38:AB38" si="6">AA37*AA36*AA35/12</f>
        <v>161.52257251624999</v>
      </c>
      <c r="AG38" s="111">
        <f>AG37*AG36*AG35/12</f>
        <v>161.52257251624999</v>
      </c>
    </row>
    <row r="39" spans="1:33" x14ac:dyDescent="0.35">
      <c r="A39" s="11"/>
    </row>
  </sheetData>
  <dataValidations count="1">
    <dataValidation allowBlank="1" showInputMessage="1" showErrorMessage="1" sqref="A16:A21 B35 A2:A13" xr:uid="{D8613508-C5BB-4385-8912-C0DC41588D40}"/>
  </dataValidations>
  <hyperlinks>
    <hyperlink ref="AN4" r:id="rId1" xr:uid="{EB965509-102D-4B53-B456-99C7325AFDBA}"/>
    <hyperlink ref="AN2" r:id="rId2" xr:uid="{DEEC3F70-95CD-4EA7-B6E2-C3A7B4A28179}"/>
    <hyperlink ref="AN11" r:id="rId3" xr:uid="{D8FE59FA-DF15-4357-AD6A-782774547E87}"/>
    <hyperlink ref="AN10" r:id="rId4" xr:uid="{6B729592-441D-4F3A-A3C7-C5752F9D3454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820BB39-D1DD-4C29-8A81-68EB24E19078}">
          <x14:formula1>
            <xm:f>helper!$D$2:$D$12</xm:f>
          </x14:formula1>
          <xm:sqref>B16:B21 B25:B31 B2:B13</xm:sqref>
        </x14:dataValidation>
        <x14:dataValidation type="list" allowBlank="1" showInputMessage="1" showErrorMessage="1" xr:uid="{449E7DB2-14BE-4D4D-9015-D76E8830A331}">
          <x14:formula1>
            <xm:f>helper!$F$2:$F$28</xm:f>
          </x14:formula1>
          <xm:sqref>K1:AL1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C4A08-B312-433A-B289-62D025C1970D}">
  <dimension ref="A1:T40"/>
  <sheetViews>
    <sheetView workbookViewId="0">
      <pane ySplit="1" topLeftCell="A2" activePane="bottomLeft" state="frozen"/>
      <selection pane="bottomLeft"/>
    </sheetView>
  </sheetViews>
  <sheetFormatPr defaultColWidth="9.1796875" defaultRowHeight="14.5" x14ac:dyDescent="0.35"/>
  <cols>
    <col min="1" max="1" width="24.1796875" style="17" customWidth="1"/>
    <col min="2" max="2" width="9.1796875" style="17" customWidth="1"/>
    <col min="3" max="3" width="12.6328125" style="17" customWidth="1"/>
    <col min="4" max="4" width="12.453125" style="17" customWidth="1"/>
    <col min="5" max="5" width="16.36328125" style="17" customWidth="1"/>
    <col min="6" max="6" width="12.453125" style="17" customWidth="1"/>
    <col min="7" max="7" width="12.36328125" style="17" customWidth="1"/>
    <col min="8" max="8" width="16.26953125" style="17" customWidth="1"/>
    <col min="9" max="9" width="14.54296875" style="17" customWidth="1"/>
    <col min="10" max="10" width="14.453125" style="17" customWidth="1"/>
    <col min="11" max="11" width="19.26953125" style="17" customWidth="1"/>
    <col min="12" max="12" width="11" style="17" customWidth="1"/>
    <col min="13" max="13" width="13.54296875" style="17" customWidth="1"/>
    <col min="14" max="14" width="12.08984375" style="17" customWidth="1"/>
    <col min="15" max="15" width="12.08984375" style="67" customWidth="1"/>
    <col min="16" max="17" width="11.08984375" style="17" customWidth="1"/>
    <col min="18" max="18" width="9.1796875" style="17"/>
    <col min="19" max="19" width="10.7265625" style="17" customWidth="1"/>
    <col min="20" max="16384" width="9.1796875" style="17"/>
  </cols>
  <sheetData>
    <row r="1" spans="1:20" s="53" customFormat="1" x14ac:dyDescent="0.35">
      <c r="A1" s="16" t="s">
        <v>59</v>
      </c>
      <c r="B1" s="16" t="s">
        <v>60</v>
      </c>
      <c r="C1" s="16" t="s">
        <v>61</v>
      </c>
      <c r="D1" s="16" t="s">
        <v>62</v>
      </c>
      <c r="E1" s="16" t="s">
        <v>63</v>
      </c>
      <c r="F1" s="16" t="s">
        <v>64</v>
      </c>
      <c r="G1" s="16" t="s">
        <v>65</v>
      </c>
      <c r="H1" s="16" t="s">
        <v>66</v>
      </c>
      <c r="I1" s="16" t="s">
        <v>67</v>
      </c>
      <c r="J1" s="16" t="s">
        <v>68</v>
      </c>
      <c r="K1" s="16" t="s">
        <v>69</v>
      </c>
      <c r="L1" s="16" t="s">
        <v>70</v>
      </c>
      <c r="M1" s="20" t="s">
        <v>71</v>
      </c>
      <c r="N1" s="16" t="s">
        <v>72</v>
      </c>
      <c r="O1" s="65" t="s">
        <v>73</v>
      </c>
      <c r="P1" s="16" t="s">
        <v>121</v>
      </c>
      <c r="Q1" s="16" t="s">
        <v>122</v>
      </c>
      <c r="R1" s="53" t="s">
        <v>58</v>
      </c>
      <c r="S1" s="53" t="s">
        <v>74</v>
      </c>
      <c r="T1" s="53" t="s">
        <v>53</v>
      </c>
    </row>
    <row r="2" spans="1:20" x14ac:dyDescent="0.35">
      <c r="A2" s="15"/>
      <c r="B2" s="18"/>
      <c r="C2" s="43"/>
      <c r="D2" s="43"/>
      <c r="E2" s="43"/>
      <c r="F2" s="43"/>
      <c r="G2" s="44"/>
      <c r="H2" s="43"/>
      <c r="I2" s="43"/>
      <c r="J2" s="43"/>
      <c r="K2" s="43"/>
      <c r="L2" s="15"/>
      <c r="M2" s="19"/>
      <c r="N2" s="18"/>
      <c r="O2" s="66"/>
      <c r="P2" s="43"/>
      <c r="Q2" s="43"/>
    </row>
    <row r="3" spans="1:20" x14ac:dyDescent="0.35">
      <c r="A3" s="15"/>
      <c r="B3" s="18"/>
      <c r="C3" s="15"/>
      <c r="D3" s="15"/>
      <c r="E3" s="15"/>
      <c r="F3" s="15"/>
      <c r="G3" s="15"/>
      <c r="H3" s="15"/>
      <c r="I3" s="15"/>
      <c r="J3" s="15"/>
      <c r="K3" s="15"/>
      <c r="L3" s="15"/>
      <c r="M3" s="19"/>
      <c r="N3" s="18"/>
      <c r="O3" s="66"/>
      <c r="P3" s="15"/>
      <c r="Q3" s="15"/>
    </row>
    <row r="4" spans="1:20" x14ac:dyDescent="0.35">
      <c r="A4" s="15"/>
      <c r="B4" s="18"/>
      <c r="C4" s="15"/>
      <c r="D4" s="15"/>
      <c r="E4" s="15"/>
      <c r="F4" s="15"/>
      <c r="G4" s="15"/>
      <c r="H4" s="15"/>
      <c r="I4" s="15"/>
      <c r="J4" s="15"/>
      <c r="K4" s="15"/>
      <c r="L4" s="15"/>
      <c r="M4" s="19"/>
      <c r="N4" s="18"/>
      <c r="O4" s="66"/>
      <c r="P4" s="15"/>
      <c r="Q4" s="15"/>
    </row>
    <row r="5" spans="1:20" x14ac:dyDescent="0.35">
      <c r="A5" s="15"/>
      <c r="B5" s="18"/>
      <c r="C5" s="15"/>
      <c r="D5" s="15"/>
      <c r="E5" s="15"/>
      <c r="F5" s="15"/>
      <c r="G5" s="15"/>
      <c r="H5" s="15"/>
      <c r="I5" s="15"/>
      <c r="J5" s="15"/>
      <c r="K5" s="15"/>
      <c r="L5" s="15"/>
      <c r="M5" s="19"/>
      <c r="N5" s="18"/>
      <c r="O5" s="66"/>
      <c r="P5" s="15"/>
      <c r="Q5" s="15"/>
    </row>
    <row r="6" spans="1:20" x14ac:dyDescent="0.35">
      <c r="A6" s="15"/>
      <c r="B6" s="18"/>
      <c r="C6" s="15"/>
      <c r="D6" s="15"/>
      <c r="E6" s="15"/>
      <c r="F6" s="15"/>
      <c r="G6" s="15"/>
      <c r="H6" s="15"/>
      <c r="I6" s="15"/>
      <c r="J6" s="15"/>
      <c r="K6" s="15"/>
      <c r="L6" s="15"/>
      <c r="M6" s="19"/>
      <c r="N6" s="18"/>
      <c r="O6" s="66"/>
      <c r="P6" s="15"/>
      <c r="Q6" s="15"/>
    </row>
    <row r="7" spans="1:20" x14ac:dyDescent="0.35">
      <c r="A7" s="15"/>
      <c r="B7" s="18"/>
      <c r="C7" s="15"/>
      <c r="D7" s="15"/>
      <c r="E7" s="15"/>
      <c r="F7" s="15"/>
      <c r="G7" s="15"/>
      <c r="H7" s="15"/>
      <c r="I7" s="15"/>
      <c r="J7" s="15"/>
      <c r="K7" s="15"/>
      <c r="L7" s="15"/>
      <c r="M7" s="19"/>
      <c r="N7" s="18"/>
      <c r="O7" s="66"/>
      <c r="P7" s="15"/>
      <c r="Q7" s="15"/>
    </row>
    <row r="8" spans="1:20" x14ac:dyDescent="0.35">
      <c r="A8" s="15"/>
      <c r="B8" s="18"/>
      <c r="C8" s="15"/>
      <c r="D8" s="15"/>
      <c r="E8" s="15"/>
      <c r="F8" s="15"/>
      <c r="G8" s="15"/>
      <c r="H8" s="15"/>
      <c r="I8" s="15"/>
      <c r="J8" s="15"/>
      <c r="K8" s="15"/>
      <c r="L8" s="15"/>
      <c r="M8" s="19"/>
      <c r="N8" s="18"/>
      <c r="O8" s="66"/>
      <c r="P8" s="15"/>
      <c r="Q8" s="15"/>
    </row>
    <row r="9" spans="1:20" x14ac:dyDescent="0.35">
      <c r="A9" s="15"/>
      <c r="B9" s="18"/>
      <c r="C9" s="15"/>
      <c r="D9" s="15"/>
      <c r="E9" s="15"/>
      <c r="F9" s="15"/>
      <c r="G9" s="15"/>
      <c r="H9" s="15"/>
      <c r="I9" s="15"/>
      <c r="J9" s="15"/>
      <c r="K9" s="15"/>
      <c r="L9" s="15"/>
      <c r="M9" s="19"/>
      <c r="N9" s="18"/>
      <c r="O9" s="66"/>
      <c r="P9" s="15"/>
      <c r="Q9" s="15"/>
    </row>
    <row r="10" spans="1:20" x14ac:dyDescent="0.35">
      <c r="A10" s="15"/>
      <c r="B10" s="18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9"/>
      <c r="N10" s="18"/>
      <c r="O10" s="66"/>
      <c r="P10" s="15"/>
      <c r="Q10" s="15"/>
    </row>
    <row r="11" spans="1:20" x14ac:dyDescent="0.35">
      <c r="A11" s="15"/>
      <c r="B11" s="18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9"/>
      <c r="N11" s="18"/>
      <c r="O11" s="66"/>
      <c r="P11" s="15"/>
      <c r="Q11" s="15"/>
    </row>
    <row r="12" spans="1:20" x14ac:dyDescent="0.35">
      <c r="A12" s="15"/>
      <c r="B12" s="18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9"/>
      <c r="N12" s="18"/>
      <c r="O12" s="66"/>
      <c r="P12" s="15"/>
      <c r="Q12" s="15"/>
    </row>
    <row r="13" spans="1:20" x14ac:dyDescent="0.35">
      <c r="A13" s="15"/>
      <c r="B13" s="18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9"/>
      <c r="N13" s="18"/>
      <c r="O13" s="66"/>
      <c r="P13" s="15"/>
      <c r="Q13" s="15"/>
    </row>
    <row r="14" spans="1:20" x14ac:dyDescent="0.35">
      <c r="A14" s="15"/>
      <c r="B14" s="18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9"/>
      <c r="N14" s="18"/>
      <c r="O14" s="66"/>
      <c r="P14" s="15"/>
      <c r="Q14" s="15"/>
    </row>
    <row r="15" spans="1:20" x14ac:dyDescent="0.35">
      <c r="A15" s="15"/>
      <c r="B15" s="18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9"/>
      <c r="N15" s="18"/>
      <c r="O15" s="66"/>
      <c r="P15" s="15"/>
      <c r="Q15" s="15"/>
    </row>
    <row r="16" spans="1:20" x14ac:dyDescent="0.35">
      <c r="A16" s="15"/>
      <c r="B16" s="18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9"/>
      <c r="N16" s="18"/>
      <c r="O16" s="66"/>
      <c r="P16" s="15"/>
      <c r="Q16" s="15"/>
    </row>
    <row r="17" spans="1:17" x14ac:dyDescent="0.35">
      <c r="A17" s="15"/>
      <c r="B17" s="18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9"/>
      <c r="N17" s="18"/>
      <c r="O17" s="66"/>
      <c r="P17" s="15"/>
      <c r="Q17" s="15"/>
    </row>
    <row r="18" spans="1:17" x14ac:dyDescent="0.35">
      <c r="A18" s="15"/>
      <c r="B18" s="18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9"/>
      <c r="N18" s="18"/>
      <c r="O18" s="66"/>
      <c r="P18" s="15"/>
      <c r="Q18" s="15"/>
    </row>
    <row r="19" spans="1:17" x14ac:dyDescent="0.35">
      <c r="A19" s="15"/>
      <c r="B19" s="18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9"/>
      <c r="N19" s="18"/>
      <c r="O19" s="66"/>
      <c r="P19" s="15"/>
      <c r="Q19" s="15"/>
    </row>
    <row r="20" spans="1:17" x14ac:dyDescent="0.35">
      <c r="A20" s="15"/>
      <c r="B20" s="18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9"/>
      <c r="N20" s="18"/>
      <c r="O20" s="66"/>
      <c r="P20" s="15"/>
      <c r="Q20" s="15"/>
    </row>
    <row r="21" spans="1:17" x14ac:dyDescent="0.35">
      <c r="A21" s="15"/>
      <c r="B21" s="18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9"/>
      <c r="N21" s="18"/>
      <c r="O21" s="66"/>
      <c r="P21" s="15"/>
      <c r="Q21" s="15"/>
    </row>
    <row r="22" spans="1:17" x14ac:dyDescent="0.35">
      <c r="A22" s="15"/>
      <c r="B22" s="18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9"/>
      <c r="N22" s="18"/>
      <c r="O22" s="66"/>
      <c r="P22" s="15"/>
      <c r="Q22" s="15"/>
    </row>
    <row r="23" spans="1:17" x14ac:dyDescent="0.35">
      <c r="A23" s="15"/>
      <c r="B23" s="18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9"/>
      <c r="N23" s="18"/>
      <c r="O23" s="66"/>
      <c r="P23" s="15"/>
      <c r="Q23" s="15"/>
    </row>
    <row r="24" spans="1:17" x14ac:dyDescent="0.35">
      <c r="A24" s="15"/>
      <c r="B24" s="18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9"/>
      <c r="N24" s="18"/>
      <c r="O24" s="66"/>
      <c r="P24" s="15"/>
      <c r="Q24" s="15"/>
    </row>
    <row r="25" spans="1:17" x14ac:dyDescent="0.35">
      <c r="A25" s="15"/>
      <c r="B25" s="18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9"/>
      <c r="N25" s="18"/>
      <c r="O25" s="66"/>
      <c r="P25" s="15"/>
      <c r="Q25" s="15"/>
    </row>
    <row r="26" spans="1:17" x14ac:dyDescent="0.35">
      <c r="A26" s="15"/>
      <c r="B26" s="18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9"/>
      <c r="N26" s="18"/>
      <c r="O26" s="66"/>
      <c r="P26" s="15"/>
      <c r="Q26" s="15"/>
    </row>
    <row r="27" spans="1:17" x14ac:dyDescent="0.35">
      <c r="A27" s="15"/>
      <c r="B27" s="18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9"/>
      <c r="N27" s="18"/>
      <c r="O27" s="66"/>
      <c r="P27" s="15"/>
      <c r="Q27" s="15"/>
    </row>
    <row r="28" spans="1:17" x14ac:dyDescent="0.35">
      <c r="A28" s="15"/>
      <c r="B28" s="18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9"/>
      <c r="N28" s="18"/>
      <c r="O28" s="66"/>
      <c r="P28" s="15"/>
      <c r="Q28" s="15"/>
    </row>
    <row r="29" spans="1:17" x14ac:dyDescent="0.35">
      <c r="A29" s="15"/>
      <c r="B29" s="18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9"/>
      <c r="N29" s="18"/>
      <c r="O29" s="66"/>
      <c r="P29" s="15"/>
      <c r="Q29" s="15"/>
    </row>
    <row r="30" spans="1:17" x14ac:dyDescent="0.35">
      <c r="A30" s="15"/>
      <c r="B30" s="18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9"/>
      <c r="N30" s="18"/>
      <c r="O30" s="66"/>
      <c r="P30" s="15"/>
      <c r="Q30" s="15"/>
    </row>
    <row r="31" spans="1:17" x14ac:dyDescent="0.35">
      <c r="A31" s="15"/>
      <c r="B31" s="18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9"/>
      <c r="N31" s="18"/>
      <c r="O31" s="66"/>
      <c r="P31" s="15"/>
      <c r="Q31" s="15"/>
    </row>
    <row r="32" spans="1:17" x14ac:dyDescent="0.35">
      <c r="A32" s="15"/>
      <c r="B32" s="18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9"/>
      <c r="N32" s="18"/>
      <c r="O32" s="66"/>
      <c r="P32" s="15"/>
      <c r="Q32" s="15"/>
    </row>
    <row r="33" spans="1:17" x14ac:dyDescent="0.35">
      <c r="A33" s="15"/>
      <c r="B33" s="18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9"/>
      <c r="N33" s="18"/>
      <c r="O33" s="66"/>
      <c r="P33" s="15"/>
      <c r="Q33" s="15"/>
    </row>
    <row r="34" spans="1:17" x14ac:dyDescent="0.35">
      <c r="A34" s="15"/>
      <c r="B34" s="18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9"/>
      <c r="N34" s="18"/>
      <c r="O34" s="66"/>
      <c r="P34" s="15"/>
      <c r="Q34" s="15"/>
    </row>
    <row r="35" spans="1:17" x14ac:dyDescent="0.35">
      <c r="A35" s="15"/>
      <c r="B35" s="18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9"/>
      <c r="N35" s="18"/>
      <c r="O35" s="66"/>
      <c r="P35" s="15"/>
      <c r="Q35" s="15"/>
    </row>
    <row r="36" spans="1:17" x14ac:dyDescent="0.35">
      <c r="A36" s="15"/>
      <c r="B36" s="18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9"/>
      <c r="N36" s="18"/>
      <c r="O36" s="66"/>
      <c r="P36" s="15"/>
      <c r="Q36" s="15"/>
    </row>
    <row r="37" spans="1:17" x14ac:dyDescent="0.35">
      <c r="A37" s="15"/>
      <c r="B37" s="18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9"/>
      <c r="N37" s="18"/>
      <c r="O37" s="66"/>
      <c r="P37" s="15"/>
      <c r="Q37" s="15"/>
    </row>
    <row r="38" spans="1:17" x14ac:dyDescent="0.35">
      <c r="A38" s="15"/>
      <c r="B38" s="18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9"/>
      <c r="N38" s="18"/>
      <c r="O38" s="66"/>
      <c r="P38" s="15"/>
      <c r="Q38" s="15"/>
    </row>
    <row r="39" spans="1:17" x14ac:dyDescent="0.35">
      <c r="A39" s="15"/>
      <c r="B39" s="18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9"/>
      <c r="N39" s="18"/>
      <c r="O39" s="66"/>
      <c r="P39" s="15"/>
      <c r="Q39" s="15"/>
    </row>
    <row r="40" spans="1:17" x14ac:dyDescent="0.35">
      <c r="A40" s="15"/>
      <c r="B40" s="18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9"/>
      <c r="N40" s="18"/>
      <c r="O40" s="66"/>
      <c r="P40" s="15"/>
      <c r="Q40" s="15"/>
    </row>
  </sheetData>
  <phoneticPr fontId="5" type="noConversion"/>
  <dataValidations count="1">
    <dataValidation allowBlank="1" showInputMessage="1" showErrorMessage="1" sqref="C2:D2 A2:B2" xr:uid="{4FC21F18-8596-4BAA-AF23-12455A42E21A}"/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6E64E-2560-45A5-B0E6-720D6D9AB6C1}">
  <dimension ref="A1:F420"/>
  <sheetViews>
    <sheetView workbookViewId="0">
      <selection activeCell="F27" sqref="F27"/>
    </sheetView>
  </sheetViews>
  <sheetFormatPr defaultRowHeight="14.5" x14ac:dyDescent="0.35"/>
  <cols>
    <col min="1" max="1" width="18.26953125" customWidth="1"/>
    <col min="2" max="2" width="29.54296875" bestFit="1" customWidth="1"/>
    <col min="3" max="3" width="29.54296875" customWidth="1"/>
    <col min="4" max="4" width="9.36328125" bestFit="1" customWidth="1"/>
    <col min="5" max="5" width="35.81640625" bestFit="1" customWidth="1"/>
    <col min="6" max="6" width="9.90625" bestFit="1" customWidth="1"/>
  </cols>
  <sheetData>
    <row r="1" spans="1:6" s="1" customFormat="1" x14ac:dyDescent="0.35">
      <c r="A1" s="1" t="s">
        <v>112</v>
      </c>
      <c r="B1" s="1" t="s">
        <v>59</v>
      </c>
      <c r="C1" s="1" t="s">
        <v>113</v>
      </c>
      <c r="D1" s="1" t="s">
        <v>60</v>
      </c>
      <c r="E1" s="1" t="s">
        <v>114</v>
      </c>
      <c r="F1" s="1" t="s">
        <v>71</v>
      </c>
    </row>
    <row r="2" spans="1:6" x14ac:dyDescent="0.35">
      <c r="A2" s="2" t="s">
        <v>15</v>
      </c>
      <c r="B2" t="s">
        <v>15</v>
      </c>
      <c r="C2" t="s">
        <v>16</v>
      </c>
      <c r="D2" t="s">
        <v>47</v>
      </c>
      <c r="E2" t="s">
        <v>148</v>
      </c>
      <c r="F2" s="69">
        <v>45627</v>
      </c>
    </row>
    <row r="3" spans="1:6" x14ac:dyDescent="0.35">
      <c r="A3" s="2" t="s">
        <v>115</v>
      </c>
      <c r="B3" t="s">
        <v>18</v>
      </c>
      <c r="C3" t="s">
        <v>32</v>
      </c>
      <c r="D3" t="s">
        <v>46</v>
      </c>
      <c r="E3" t="s">
        <v>149</v>
      </c>
      <c r="F3" s="69">
        <v>45658</v>
      </c>
    </row>
    <row r="4" spans="1:6" x14ac:dyDescent="0.35">
      <c r="A4" s="2" t="s">
        <v>115</v>
      </c>
      <c r="B4" t="s">
        <v>133</v>
      </c>
      <c r="C4" t="s">
        <v>22</v>
      </c>
      <c r="D4" t="s">
        <v>45</v>
      </c>
      <c r="E4" t="s">
        <v>142</v>
      </c>
      <c r="F4" s="69">
        <v>45689</v>
      </c>
    </row>
    <row r="5" spans="1:6" x14ac:dyDescent="0.35">
      <c r="A5" s="2" t="s">
        <v>115</v>
      </c>
      <c r="B5" t="s">
        <v>136</v>
      </c>
      <c r="C5" t="s">
        <v>30</v>
      </c>
      <c r="D5" t="s">
        <v>48</v>
      </c>
      <c r="E5" t="s">
        <v>143</v>
      </c>
      <c r="F5" s="69">
        <v>45717</v>
      </c>
    </row>
    <row r="6" spans="1:6" x14ac:dyDescent="0.35">
      <c r="A6" s="2" t="s">
        <v>115</v>
      </c>
      <c r="B6" t="s">
        <v>134</v>
      </c>
      <c r="C6" t="s">
        <v>25</v>
      </c>
      <c r="D6" t="s">
        <v>49</v>
      </c>
      <c r="E6" t="s">
        <v>34</v>
      </c>
      <c r="F6" s="69">
        <v>45748</v>
      </c>
    </row>
    <row r="7" spans="1:6" x14ac:dyDescent="0.35">
      <c r="A7" s="2" t="s">
        <v>116</v>
      </c>
      <c r="B7" t="s">
        <v>27</v>
      </c>
      <c r="F7" s="69">
        <v>45778</v>
      </c>
    </row>
    <row r="8" spans="1:6" x14ac:dyDescent="0.35">
      <c r="A8" s="2" t="s">
        <v>116</v>
      </c>
      <c r="B8" t="s">
        <v>29</v>
      </c>
      <c r="F8" s="69">
        <v>45809</v>
      </c>
    </row>
    <row r="9" spans="1:6" x14ac:dyDescent="0.35">
      <c r="A9" s="2" t="s">
        <v>116</v>
      </c>
      <c r="B9" t="s">
        <v>137</v>
      </c>
      <c r="F9" s="69">
        <v>45839</v>
      </c>
    </row>
    <row r="10" spans="1:6" x14ac:dyDescent="0.35">
      <c r="A10" s="2" t="s">
        <v>116</v>
      </c>
      <c r="B10" t="s">
        <v>129</v>
      </c>
      <c r="F10" s="69">
        <v>45870</v>
      </c>
    </row>
    <row r="11" spans="1:6" x14ac:dyDescent="0.35">
      <c r="A11" s="2" t="s">
        <v>116</v>
      </c>
      <c r="B11" t="s">
        <v>130</v>
      </c>
      <c r="F11" s="69">
        <v>45901</v>
      </c>
    </row>
    <row r="12" spans="1:6" x14ac:dyDescent="0.35">
      <c r="A12" s="2" t="s">
        <v>116</v>
      </c>
      <c r="B12" t="s">
        <v>131</v>
      </c>
      <c r="F12" s="69">
        <v>45931</v>
      </c>
    </row>
    <row r="13" spans="1:6" x14ac:dyDescent="0.35">
      <c r="A13" s="2" t="s">
        <v>116</v>
      </c>
      <c r="B13" t="s">
        <v>128</v>
      </c>
      <c r="F13" s="69">
        <v>45962</v>
      </c>
    </row>
    <row r="14" spans="1:6" x14ac:dyDescent="0.35">
      <c r="A14" s="2" t="s">
        <v>116</v>
      </c>
      <c r="B14" t="s">
        <v>135</v>
      </c>
      <c r="F14" s="69">
        <v>45992</v>
      </c>
    </row>
    <row r="15" spans="1:6" x14ac:dyDescent="0.35">
      <c r="A15" s="2" t="s">
        <v>116</v>
      </c>
      <c r="B15" t="s">
        <v>21</v>
      </c>
      <c r="F15" s="69">
        <v>46023</v>
      </c>
    </row>
    <row r="16" spans="1:6" x14ac:dyDescent="0.35">
      <c r="A16" t="s">
        <v>132</v>
      </c>
      <c r="B16" t="s">
        <v>132</v>
      </c>
      <c r="F16" s="69">
        <v>46054</v>
      </c>
    </row>
    <row r="17" spans="1:6" x14ac:dyDescent="0.35">
      <c r="A17" t="s">
        <v>34</v>
      </c>
      <c r="B17" t="s">
        <v>34</v>
      </c>
      <c r="F17" s="69">
        <v>46082</v>
      </c>
    </row>
    <row r="18" spans="1:6" x14ac:dyDescent="0.35">
      <c r="F18" s="69">
        <v>46113</v>
      </c>
    </row>
    <row r="19" spans="1:6" x14ac:dyDescent="0.35">
      <c r="F19" s="69">
        <v>46143</v>
      </c>
    </row>
    <row r="20" spans="1:6" x14ac:dyDescent="0.35">
      <c r="F20" s="69">
        <v>46174</v>
      </c>
    </row>
    <row r="21" spans="1:6" x14ac:dyDescent="0.35">
      <c r="F21" s="69">
        <v>46204</v>
      </c>
    </row>
    <row r="22" spans="1:6" x14ac:dyDescent="0.35">
      <c r="F22" s="69">
        <v>46235</v>
      </c>
    </row>
    <row r="23" spans="1:6" x14ac:dyDescent="0.35">
      <c r="F23" s="69">
        <v>46266</v>
      </c>
    </row>
    <row r="24" spans="1:6" x14ac:dyDescent="0.35">
      <c r="F24" s="69">
        <v>46296</v>
      </c>
    </row>
    <row r="25" spans="1:6" x14ac:dyDescent="0.35">
      <c r="F25" s="69">
        <v>46327</v>
      </c>
    </row>
    <row r="26" spans="1:6" x14ac:dyDescent="0.35">
      <c r="F26" s="69">
        <v>46357</v>
      </c>
    </row>
    <row r="27" spans="1:6" x14ac:dyDescent="0.35">
      <c r="F27" s="69"/>
    </row>
    <row r="28" spans="1:6" x14ac:dyDescent="0.35">
      <c r="F28" s="69"/>
    </row>
    <row r="29" spans="1:6" x14ac:dyDescent="0.35">
      <c r="F29" s="69"/>
    </row>
    <row r="30" spans="1:6" x14ac:dyDescent="0.35">
      <c r="F30" s="69"/>
    </row>
    <row r="31" spans="1:6" x14ac:dyDescent="0.35">
      <c r="F31" s="69"/>
    </row>
    <row r="32" spans="1:6" x14ac:dyDescent="0.35">
      <c r="F32" s="69"/>
    </row>
    <row r="33" spans="6:6" x14ac:dyDescent="0.35">
      <c r="F33" s="69"/>
    </row>
    <row r="34" spans="6:6" x14ac:dyDescent="0.35">
      <c r="F34" s="69"/>
    </row>
    <row r="35" spans="6:6" x14ac:dyDescent="0.35">
      <c r="F35" s="69"/>
    </row>
    <row r="36" spans="6:6" x14ac:dyDescent="0.35">
      <c r="F36" s="69"/>
    </row>
    <row r="37" spans="6:6" x14ac:dyDescent="0.35">
      <c r="F37" s="69"/>
    </row>
    <row r="38" spans="6:6" x14ac:dyDescent="0.35">
      <c r="F38" s="69"/>
    </row>
    <row r="39" spans="6:6" x14ac:dyDescent="0.35">
      <c r="F39" s="69"/>
    </row>
    <row r="40" spans="6:6" x14ac:dyDescent="0.35">
      <c r="F40" s="69"/>
    </row>
    <row r="41" spans="6:6" x14ac:dyDescent="0.35">
      <c r="F41" s="69"/>
    </row>
    <row r="42" spans="6:6" x14ac:dyDescent="0.35">
      <c r="F42" s="69"/>
    </row>
    <row r="43" spans="6:6" x14ac:dyDescent="0.35">
      <c r="F43" s="69"/>
    </row>
    <row r="44" spans="6:6" x14ac:dyDescent="0.35">
      <c r="F44" s="69"/>
    </row>
    <row r="45" spans="6:6" x14ac:dyDescent="0.35">
      <c r="F45" s="69"/>
    </row>
    <row r="46" spans="6:6" x14ac:dyDescent="0.35">
      <c r="F46" s="69"/>
    </row>
    <row r="47" spans="6:6" x14ac:dyDescent="0.35">
      <c r="F47" s="69"/>
    </row>
    <row r="48" spans="6:6" x14ac:dyDescent="0.35">
      <c r="F48" s="69"/>
    </row>
    <row r="49" spans="6:6" x14ac:dyDescent="0.35">
      <c r="F49" s="69"/>
    </row>
    <row r="50" spans="6:6" x14ac:dyDescent="0.35">
      <c r="F50" s="69"/>
    </row>
    <row r="51" spans="6:6" x14ac:dyDescent="0.35">
      <c r="F51" s="69"/>
    </row>
    <row r="52" spans="6:6" x14ac:dyDescent="0.35">
      <c r="F52" s="69"/>
    </row>
    <row r="53" spans="6:6" x14ac:dyDescent="0.35">
      <c r="F53" s="69"/>
    </row>
    <row r="54" spans="6:6" x14ac:dyDescent="0.35">
      <c r="F54" s="69"/>
    </row>
    <row r="55" spans="6:6" x14ac:dyDescent="0.35">
      <c r="F55" s="69"/>
    </row>
    <row r="56" spans="6:6" x14ac:dyDescent="0.35">
      <c r="F56" s="69"/>
    </row>
    <row r="57" spans="6:6" x14ac:dyDescent="0.35">
      <c r="F57" s="69"/>
    </row>
    <row r="58" spans="6:6" x14ac:dyDescent="0.35">
      <c r="F58" s="69"/>
    </row>
    <row r="59" spans="6:6" x14ac:dyDescent="0.35">
      <c r="F59" s="69"/>
    </row>
    <row r="60" spans="6:6" x14ac:dyDescent="0.35">
      <c r="F60" s="69"/>
    </row>
    <row r="61" spans="6:6" x14ac:dyDescent="0.35">
      <c r="F61" s="69"/>
    </row>
    <row r="62" spans="6:6" x14ac:dyDescent="0.35">
      <c r="F62" s="69"/>
    </row>
    <row r="63" spans="6:6" x14ac:dyDescent="0.35">
      <c r="F63" s="69"/>
    </row>
    <row r="64" spans="6:6" x14ac:dyDescent="0.35">
      <c r="F64" s="69"/>
    </row>
    <row r="65" spans="6:6" x14ac:dyDescent="0.35">
      <c r="F65" s="69"/>
    </row>
    <row r="66" spans="6:6" x14ac:dyDescent="0.35">
      <c r="F66" s="69"/>
    </row>
    <row r="67" spans="6:6" x14ac:dyDescent="0.35">
      <c r="F67" s="69"/>
    </row>
    <row r="68" spans="6:6" x14ac:dyDescent="0.35">
      <c r="F68" s="69"/>
    </row>
    <row r="69" spans="6:6" x14ac:dyDescent="0.35">
      <c r="F69" s="69"/>
    </row>
    <row r="70" spans="6:6" x14ac:dyDescent="0.35">
      <c r="F70" s="69"/>
    </row>
    <row r="71" spans="6:6" x14ac:dyDescent="0.35">
      <c r="F71" s="69"/>
    </row>
    <row r="72" spans="6:6" x14ac:dyDescent="0.35">
      <c r="F72" s="69"/>
    </row>
    <row r="73" spans="6:6" x14ac:dyDescent="0.35">
      <c r="F73" s="69"/>
    </row>
    <row r="74" spans="6:6" x14ac:dyDescent="0.35">
      <c r="F74" s="69"/>
    </row>
    <row r="75" spans="6:6" x14ac:dyDescent="0.35">
      <c r="F75" s="69"/>
    </row>
    <row r="76" spans="6:6" x14ac:dyDescent="0.35">
      <c r="F76" s="69"/>
    </row>
    <row r="77" spans="6:6" x14ac:dyDescent="0.35">
      <c r="F77" s="69"/>
    </row>
    <row r="78" spans="6:6" x14ac:dyDescent="0.35">
      <c r="F78" s="69"/>
    </row>
    <row r="79" spans="6:6" x14ac:dyDescent="0.35">
      <c r="F79" s="69"/>
    </row>
    <row r="80" spans="6:6" x14ac:dyDescent="0.35">
      <c r="F80" s="69"/>
    </row>
    <row r="81" spans="6:6" x14ac:dyDescent="0.35">
      <c r="F81" s="69"/>
    </row>
    <row r="82" spans="6:6" x14ac:dyDescent="0.35">
      <c r="F82" s="69"/>
    </row>
    <row r="83" spans="6:6" x14ac:dyDescent="0.35">
      <c r="F83" s="69"/>
    </row>
    <row r="84" spans="6:6" x14ac:dyDescent="0.35">
      <c r="F84" s="69"/>
    </row>
    <row r="85" spans="6:6" x14ac:dyDescent="0.35">
      <c r="F85" s="69"/>
    </row>
    <row r="86" spans="6:6" x14ac:dyDescent="0.35">
      <c r="F86" s="69"/>
    </row>
    <row r="87" spans="6:6" x14ac:dyDescent="0.35">
      <c r="F87" s="69"/>
    </row>
    <row r="88" spans="6:6" x14ac:dyDescent="0.35">
      <c r="F88" s="69"/>
    </row>
    <row r="89" spans="6:6" x14ac:dyDescent="0.35">
      <c r="F89" s="69"/>
    </row>
    <row r="90" spans="6:6" x14ac:dyDescent="0.35">
      <c r="F90" s="69"/>
    </row>
    <row r="91" spans="6:6" x14ac:dyDescent="0.35">
      <c r="F91" s="69"/>
    </row>
    <row r="92" spans="6:6" x14ac:dyDescent="0.35">
      <c r="F92" s="69"/>
    </row>
    <row r="93" spans="6:6" x14ac:dyDescent="0.35">
      <c r="F93" s="69"/>
    </row>
    <row r="94" spans="6:6" x14ac:dyDescent="0.35">
      <c r="F94" s="69"/>
    </row>
    <row r="95" spans="6:6" x14ac:dyDescent="0.35">
      <c r="F95" s="69"/>
    </row>
    <row r="96" spans="6:6" x14ac:dyDescent="0.35">
      <c r="F96" s="69"/>
    </row>
    <row r="97" spans="6:6" x14ac:dyDescent="0.35">
      <c r="F97" s="69"/>
    </row>
    <row r="98" spans="6:6" x14ac:dyDescent="0.35">
      <c r="F98" s="69"/>
    </row>
    <row r="99" spans="6:6" x14ac:dyDescent="0.35">
      <c r="F99" s="69"/>
    </row>
    <row r="100" spans="6:6" x14ac:dyDescent="0.35">
      <c r="F100" s="69"/>
    </row>
    <row r="101" spans="6:6" x14ac:dyDescent="0.35">
      <c r="F101" s="69"/>
    </row>
    <row r="102" spans="6:6" x14ac:dyDescent="0.35">
      <c r="F102" s="69"/>
    </row>
    <row r="103" spans="6:6" x14ac:dyDescent="0.35">
      <c r="F103" s="69"/>
    </row>
    <row r="104" spans="6:6" x14ac:dyDescent="0.35">
      <c r="F104" s="69"/>
    </row>
    <row r="105" spans="6:6" x14ac:dyDescent="0.35">
      <c r="F105" s="69"/>
    </row>
    <row r="106" spans="6:6" x14ac:dyDescent="0.35">
      <c r="F106" s="69"/>
    </row>
    <row r="107" spans="6:6" x14ac:dyDescent="0.35">
      <c r="F107" s="69"/>
    </row>
    <row r="108" spans="6:6" x14ac:dyDescent="0.35">
      <c r="F108" s="69"/>
    </row>
    <row r="109" spans="6:6" x14ac:dyDescent="0.35">
      <c r="F109" s="69"/>
    </row>
    <row r="110" spans="6:6" x14ac:dyDescent="0.35">
      <c r="F110" s="69"/>
    </row>
    <row r="111" spans="6:6" x14ac:dyDescent="0.35">
      <c r="F111" s="69"/>
    </row>
    <row r="112" spans="6:6" x14ac:dyDescent="0.35">
      <c r="F112" s="69"/>
    </row>
    <row r="113" spans="6:6" x14ac:dyDescent="0.35">
      <c r="F113" s="69"/>
    </row>
    <row r="114" spans="6:6" x14ac:dyDescent="0.35">
      <c r="F114" s="69"/>
    </row>
    <row r="115" spans="6:6" x14ac:dyDescent="0.35">
      <c r="F115" s="69"/>
    </row>
    <row r="116" spans="6:6" x14ac:dyDescent="0.35">
      <c r="F116" s="69"/>
    </row>
    <row r="117" spans="6:6" x14ac:dyDescent="0.35">
      <c r="F117" s="69"/>
    </row>
    <row r="118" spans="6:6" x14ac:dyDescent="0.35">
      <c r="F118" s="69"/>
    </row>
    <row r="119" spans="6:6" x14ac:dyDescent="0.35">
      <c r="F119" s="69"/>
    </row>
    <row r="120" spans="6:6" x14ac:dyDescent="0.35">
      <c r="F120" s="69"/>
    </row>
    <row r="121" spans="6:6" x14ac:dyDescent="0.35">
      <c r="F121" s="69"/>
    </row>
    <row r="122" spans="6:6" x14ac:dyDescent="0.35">
      <c r="F122" s="69"/>
    </row>
    <row r="123" spans="6:6" x14ac:dyDescent="0.35">
      <c r="F123" s="69"/>
    </row>
    <row r="124" spans="6:6" x14ac:dyDescent="0.35">
      <c r="F124" s="69"/>
    </row>
    <row r="125" spans="6:6" x14ac:dyDescent="0.35">
      <c r="F125" s="69"/>
    </row>
    <row r="126" spans="6:6" x14ac:dyDescent="0.35">
      <c r="F126" s="69"/>
    </row>
    <row r="127" spans="6:6" x14ac:dyDescent="0.35">
      <c r="F127" s="69"/>
    </row>
    <row r="128" spans="6:6" x14ac:dyDescent="0.35">
      <c r="F128" s="69"/>
    </row>
    <row r="129" spans="6:6" x14ac:dyDescent="0.35">
      <c r="F129" s="69"/>
    </row>
    <row r="130" spans="6:6" x14ac:dyDescent="0.35">
      <c r="F130" s="69"/>
    </row>
    <row r="131" spans="6:6" x14ac:dyDescent="0.35">
      <c r="F131" s="69"/>
    </row>
    <row r="132" spans="6:6" x14ac:dyDescent="0.35">
      <c r="F132" s="69"/>
    </row>
    <row r="133" spans="6:6" x14ac:dyDescent="0.35">
      <c r="F133" s="69"/>
    </row>
    <row r="134" spans="6:6" x14ac:dyDescent="0.35">
      <c r="F134" s="69"/>
    </row>
    <row r="135" spans="6:6" x14ac:dyDescent="0.35">
      <c r="F135" s="69"/>
    </row>
    <row r="136" spans="6:6" x14ac:dyDescent="0.35">
      <c r="F136" s="69"/>
    </row>
    <row r="137" spans="6:6" x14ac:dyDescent="0.35">
      <c r="F137" s="69"/>
    </row>
    <row r="138" spans="6:6" x14ac:dyDescent="0.35">
      <c r="F138" s="69"/>
    </row>
    <row r="139" spans="6:6" x14ac:dyDescent="0.35">
      <c r="F139" s="69"/>
    </row>
    <row r="140" spans="6:6" x14ac:dyDescent="0.35">
      <c r="F140" s="69"/>
    </row>
    <row r="141" spans="6:6" x14ac:dyDescent="0.35">
      <c r="F141" s="69"/>
    </row>
    <row r="142" spans="6:6" x14ac:dyDescent="0.35">
      <c r="F142" s="69"/>
    </row>
    <row r="143" spans="6:6" x14ac:dyDescent="0.35">
      <c r="F143" s="69"/>
    </row>
    <row r="144" spans="6:6" x14ac:dyDescent="0.35">
      <c r="F144" s="69"/>
    </row>
    <row r="145" spans="6:6" x14ac:dyDescent="0.35">
      <c r="F145" s="69"/>
    </row>
    <row r="146" spans="6:6" x14ac:dyDescent="0.35">
      <c r="F146" s="69"/>
    </row>
    <row r="147" spans="6:6" x14ac:dyDescent="0.35">
      <c r="F147" s="69"/>
    </row>
    <row r="148" spans="6:6" x14ac:dyDescent="0.35">
      <c r="F148" s="69"/>
    </row>
    <row r="149" spans="6:6" x14ac:dyDescent="0.35">
      <c r="F149" s="69"/>
    </row>
    <row r="150" spans="6:6" x14ac:dyDescent="0.35">
      <c r="F150" s="69"/>
    </row>
    <row r="151" spans="6:6" x14ac:dyDescent="0.35">
      <c r="F151" s="69"/>
    </row>
    <row r="152" spans="6:6" x14ac:dyDescent="0.35">
      <c r="F152" s="69"/>
    </row>
    <row r="153" spans="6:6" x14ac:dyDescent="0.35">
      <c r="F153" s="69"/>
    </row>
    <row r="154" spans="6:6" x14ac:dyDescent="0.35">
      <c r="F154" s="69"/>
    </row>
    <row r="155" spans="6:6" x14ac:dyDescent="0.35">
      <c r="F155" s="69"/>
    </row>
    <row r="156" spans="6:6" x14ac:dyDescent="0.35">
      <c r="F156" s="69"/>
    </row>
    <row r="157" spans="6:6" x14ac:dyDescent="0.35">
      <c r="F157" s="69"/>
    </row>
    <row r="158" spans="6:6" x14ac:dyDescent="0.35">
      <c r="F158" s="69"/>
    </row>
    <row r="159" spans="6:6" x14ac:dyDescent="0.35">
      <c r="F159" s="69"/>
    </row>
    <row r="160" spans="6:6" x14ac:dyDescent="0.35">
      <c r="F160" s="69"/>
    </row>
    <row r="161" spans="6:6" x14ac:dyDescent="0.35">
      <c r="F161" s="69"/>
    </row>
    <row r="162" spans="6:6" x14ac:dyDescent="0.35">
      <c r="F162" s="69"/>
    </row>
    <row r="163" spans="6:6" x14ac:dyDescent="0.35">
      <c r="F163" s="69"/>
    </row>
    <row r="164" spans="6:6" x14ac:dyDescent="0.35">
      <c r="F164" s="69"/>
    </row>
    <row r="165" spans="6:6" x14ac:dyDescent="0.35">
      <c r="F165" s="69"/>
    </row>
    <row r="166" spans="6:6" x14ac:dyDescent="0.35">
      <c r="F166" s="69"/>
    </row>
    <row r="167" spans="6:6" x14ac:dyDescent="0.35">
      <c r="F167" s="69"/>
    </row>
    <row r="168" spans="6:6" x14ac:dyDescent="0.35">
      <c r="F168" s="69"/>
    </row>
    <row r="169" spans="6:6" x14ac:dyDescent="0.35">
      <c r="F169" s="69"/>
    </row>
    <row r="170" spans="6:6" x14ac:dyDescent="0.35">
      <c r="F170" s="69"/>
    </row>
    <row r="171" spans="6:6" x14ac:dyDescent="0.35">
      <c r="F171" s="69"/>
    </row>
    <row r="172" spans="6:6" x14ac:dyDescent="0.35">
      <c r="F172" s="69"/>
    </row>
    <row r="173" spans="6:6" x14ac:dyDescent="0.35">
      <c r="F173" s="69"/>
    </row>
    <row r="174" spans="6:6" x14ac:dyDescent="0.35">
      <c r="F174" s="69"/>
    </row>
    <row r="175" spans="6:6" x14ac:dyDescent="0.35">
      <c r="F175" s="69"/>
    </row>
    <row r="176" spans="6:6" x14ac:dyDescent="0.35">
      <c r="F176" s="69"/>
    </row>
    <row r="177" spans="6:6" x14ac:dyDescent="0.35">
      <c r="F177" s="69"/>
    </row>
    <row r="178" spans="6:6" x14ac:dyDescent="0.35">
      <c r="F178" s="69"/>
    </row>
    <row r="179" spans="6:6" x14ac:dyDescent="0.35">
      <c r="F179" s="69"/>
    </row>
    <row r="180" spans="6:6" x14ac:dyDescent="0.35">
      <c r="F180" s="69"/>
    </row>
    <row r="181" spans="6:6" x14ac:dyDescent="0.35">
      <c r="F181" s="69"/>
    </row>
    <row r="182" spans="6:6" x14ac:dyDescent="0.35">
      <c r="F182" s="69"/>
    </row>
    <row r="183" spans="6:6" x14ac:dyDescent="0.35">
      <c r="F183" s="69"/>
    </row>
    <row r="184" spans="6:6" x14ac:dyDescent="0.35">
      <c r="F184" s="69"/>
    </row>
    <row r="185" spans="6:6" x14ac:dyDescent="0.35">
      <c r="F185" s="69"/>
    </row>
    <row r="186" spans="6:6" x14ac:dyDescent="0.35">
      <c r="F186" s="69"/>
    </row>
    <row r="187" spans="6:6" x14ac:dyDescent="0.35">
      <c r="F187" s="69"/>
    </row>
    <row r="188" spans="6:6" x14ac:dyDescent="0.35">
      <c r="F188" s="69"/>
    </row>
    <row r="189" spans="6:6" x14ac:dyDescent="0.35">
      <c r="F189" s="69"/>
    </row>
    <row r="190" spans="6:6" x14ac:dyDescent="0.35">
      <c r="F190" s="69"/>
    </row>
    <row r="191" spans="6:6" x14ac:dyDescent="0.35">
      <c r="F191" s="69"/>
    </row>
    <row r="192" spans="6:6" x14ac:dyDescent="0.35">
      <c r="F192" s="69"/>
    </row>
    <row r="193" spans="6:6" x14ac:dyDescent="0.35">
      <c r="F193" s="69"/>
    </row>
    <row r="194" spans="6:6" x14ac:dyDescent="0.35">
      <c r="F194" s="69"/>
    </row>
    <row r="195" spans="6:6" x14ac:dyDescent="0.35">
      <c r="F195" s="69"/>
    </row>
    <row r="196" spans="6:6" x14ac:dyDescent="0.35">
      <c r="F196" s="69"/>
    </row>
    <row r="197" spans="6:6" x14ac:dyDescent="0.35">
      <c r="F197" s="69"/>
    </row>
    <row r="198" spans="6:6" x14ac:dyDescent="0.35">
      <c r="F198" s="69"/>
    </row>
    <row r="199" spans="6:6" x14ac:dyDescent="0.35">
      <c r="F199" s="69"/>
    </row>
    <row r="200" spans="6:6" x14ac:dyDescent="0.35">
      <c r="F200" s="69"/>
    </row>
    <row r="201" spans="6:6" x14ac:dyDescent="0.35">
      <c r="F201" s="69"/>
    </row>
    <row r="202" spans="6:6" x14ac:dyDescent="0.35">
      <c r="F202" s="69"/>
    </row>
    <row r="203" spans="6:6" x14ac:dyDescent="0.35">
      <c r="F203" s="69"/>
    </row>
    <row r="204" spans="6:6" x14ac:dyDescent="0.35">
      <c r="F204" s="69"/>
    </row>
    <row r="205" spans="6:6" x14ac:dyDescent="0.35">
      <c r="F205" s="69"/>
    </row>
    <row r="206" spans="6:6" x14ac:dyDescent="0.35">
      <c r="F206" s="69"/>
    </row>
    <row r="207" spans="6:6" x14ac:dyDescent="0.35">
      <c r="F207" s="69"/>
    </row>
    <row r="208" spans="6:6" x14ac:dyDescent="0.35">
      <c r="F208" s="69"/>
    </row>
    <row r="209" spans="6:6" x14ac:dyDescent="0.35">
      <c r="F209" s="69"/>
    </row>
    <row r="210" spans="6:6" x14ac:dyDescent="0.35">
      <c r="F210" s="69"/>
    </row>
    <row r="211" spans="6:6" x14ac:dyDescent="0.35">
      <c r="F211" s="69"/>
    </row>
    <row r="212" spans="6:6" x14ac:dyDescent="0.35">
      <c r="F212" s="69"/>
    </row>
    <row r="213" spans="6:6" x14ac:dyDescent="0.35">
      <c r="F213" s="69"/>
    </row>
    <row r="214" spans="6:6" x14ac:dyDescent="0.35">
      <c r="F214" s="69"/>
    </row>
    <row r="215" spans="6:6" x14ac:dyDescent="0.35">
      <c r="F215" s="69"/>
    </row>
    <row r="216" spans="6:6" x14ac:dyDescent="0.35">
      <c r="F216" s="69"/>
    </row>
    <row r="217" spans="6:6" x14ac:dyDescent="0.35">
      <c r="F217" s="69"/>
    </row>
    <row r="218" spans="6:6" x14ac:dyDescent="0.35">
      <c r="F218" s="69"/>
    </row>
    <row r="219" spans="6:6" x14ac:dyDescent="0.35">
      <c r="F219" s="69"/>
    </row>
    <row r="220" spans="6:6" x14ac:dyDescent="0.35">
      <c r="F220" s="69"/>
    </row>
    <row r="221" spans="6:6" x14ac:dyDescent="0.35">
      <c r="F221" s="69"/>
    </row>
    <row r="222" spans="6:6" x14ac:dyDescent="0.35">
      <c r="F222" s="69"/>
    </row>
    <row r="223" spans="6:6" x14ac:dyDescent="0.35">
      <c r="F223" s="69"/>
    </row>
    <row r="224" spans="6:6" x14ac:dyDescent="0.35">
      <c r="F224" s="69"/>
    </row>
    <row r="225" spans="6:6" x14ac:dyDescent="0.35">
      <c r="F225" s="69"/>
    </row>
    <row r="226" spans="6:6" x14ac:dyDescent="0.35">
      <c r="F226" s="69"/>
    </row>
    <row r="227" spans="6:6" x14ac:dyDescent="0.35">
      <c r="F227" s="69"/>
    </row>
    <row r="228" spans="6:6" x14ac:dyDescent="0.35">
      <c r="F228" s="69"/>
    </row>
    <row r="229" spans="6:6" x14ac:dyDescent="0.35">
      <c r="F229" s="69"/>
    </row>
    <row r="230" spans="6:6" x14ac:dyDescent="0.35">
      <c r="F230" s="69"/>
    </row>
    <row r="231" spans="6:6" x14ac:dyDescent="0.35">
      <c r="F231" s="69"/>
    </row>
    <row r="232" spans="6:6" x14ac:dyDescent="0.35">
      <c r="F232" s="69"/>
    </row>
    <row r="233" spans="6:6" x14ac:dyDescent="0.35">
      <c r="F233" s="69"/>
    </row>
    <row r="234" spans="6:6" x14ac:dyDescent="0.35">
      <c r="F234" s="69"/>
    </row>
    <row r="235" spans="6:6" x14ac:dyDescent="0.35">
      <c r="F235" s="69"/>
    </row>
    <row r="236" spans="6:6" x14ac:dyDescent="0.35">
      <c r="F236" s="69"/>
    </row>
    <row r="237" spans="6:6" x14ac:dyDescent="0.35">
      <c r="F237" s="69"/>
    </row>
    <row r="238" spans="6:6" x14ac:dyDescent="0.35">
      <c r="F238" s="69"/>
    </row>
    <row r="239" spans="6:6" x14ac:dyDescent="0.35">
      <c r="F239" s="69"/>
    </row>
    <row r="240" spans="6:6" x14ac:dyDescent="0.35">
      <c r="F240" s="69"/>
    </row>
    <row r="241" spans="6:6" x14ac:dyDescent="0.35">
      <c r="F241" s="69"/>
    </row>
    <row r="242" spans="6:6" x14ac:dyDescent="0.35">
      <c r="F242" s="69"/>
    </row>
    <row r="243" spans="6:6" x14ac:dyDescent="0.35">
      <c r="F243" s="69"/>
    </row>
    <row r="244" spans="6:6" x14ac:dyDescent="0.35">
      <c r="F244" s="69"/>
    </row>
    <row r="245" spans="6:6" x14ac:dyDescent="0.35">
      <c r="F245" s="69"/>
    </row>
    <row r="246" spans="6:6" x14ac:dyDescent="0.35">
      <c r="F246" s="69"/>
    </row>
    <row r="247" spans="6:6" x14ac:dyDescent="0.35">
      <c r="F247" s="69"/>
    </row>
    <row r="248" spans="6:6" x14ac:dyDescent="0.35">
      <c r="F248" s="69"/>
    </row>
    <row r="249" spans="6:6" x14ac:dyDescent="0.35">
      <c r="F249" s="69"/>
    </row>
    <row r="250" spans="6:6" x14ac:dyDescent="0.35">
      <c r="F250" s="69"/>
    </row>
    <row r="251" spans="6:6" x14ac:dyDescent="0.35">
      <c r="F251" s="69"/>
    </row>
    <row r="252" spans="6:6" x14ac:dyDescent="0.35">
      <c r="F252" s="69"/>
    </row>
    <row r="253" spans="6:6" x14ac:dyDescent="0.35">
      <c r="F253" s="69"/>
    </row>
    <row r="254" spans="6:6" x14ac:dyDescent="0.35">
      <c r="F254" s="69"/>
    </row>
    <row r="255" spans="6:6" x14ac:dyDescent="0.35">
      <c r="F255" s="69"/>
    </row>
    <row r="256" spans="6:6" x14ac:dyDescent="0.35">
      <c r="F256" s="69"/>
    </row>
    <row r="257" spans="6:6" x14ac:dyDescent="0.35">
      <c r="F257" s="69"/>
    </row>
    <row r="258" spans="6:6" x14ac:dyDescent="0.35">
      <c r="F258" s="69"/>
    </row>
    <row r="259" spans="6:6" x14ac:dyDescent="0.35">
      <c r="F259" s="69"/>
    </row>
    <row r="260" spans="6:6" x14ac:dyDescent="0.35">
      <c r="F260" s="69"/>
    </row>
    <row r="261" spans="6:6" x14ac:dyDescent="0.35">
      <c r="F261" s="69"/>
    </row>
    <row r="262" spans="6:6" x14ac:dyDescent="0.35">
      <c r="F262" s="69"/>
    </row>
    <row r="263" spans="6:6" x14ac:dyDescent="0.35">
      <c r="F263" s="69"/>
    </row>
    <row r="264" spans="6:6" x14ac:dyDescent="0.35">
      <c r="F264" s="69"/>
    </row>
    <row r="265" spans="6:6" x14ac:dyDescent="0.35">
      <c r="F265" s="69"/>
    </row>
    <row r="266" spans="6:6" x14ac:dyDescent="0.35">
      <c r="F266" s="69"/>
    </row>
    <row r="267" spans="6:6" x14ac:dyDescent="0.35">
      <c r="F267" s="69"/>
    </row>
    <row r="268" spans="6:6" x14ac:dyDescent="0.35">
      <c r="F268" s="69"/>
    </row>
    <row r="269" spans="6:6" x14ac:dyDescent="0.35">
      <c r="F269" s="69"/>
    </row>
    <row r="270" spans="6:6" x14ac:dyDescent="0.35">
      <c r="F270" s="69"/>
    </row>
    <row r="271" spans="6:6" x14ac:dyDescent="0.35">
      <c r="F271" s="69"/>
    </row>
    <row r="272" spans="6:6" x14ac:dyDescent="0.35">
      <c r="F272" s="69"/>
    </row>
    <row r="273" spans="6:6" x14ac:dyDescent="0.35">
      <c r="F273" s="69"/>
    </row>
    <row r="274" spans="6:6" x14ac:dyDescent="0.35">
      <c r="F274" s="69"/>
    </row>
    <row r="275" spans="6:6" x14ac:dyDescent="0.35">
      <c r="F275" s="69"/>
    </row>
    <row r="276" spans="6:6" x14ac:dyDescent="0.35">
      <c r="F276" s="69"/>
    </row>
    <row r="277" spans="6:6" x14ac:dyDescent="0.35">
      <c r="F277" s="69"/>
    </row>
    <row r="278" spans="6:6" x14ac:dyDescent="0.35">
      <c r="F278" s="69"/>
    </row>
    <row r="279" spans="6:6" x14ac:dyDescent="0.35">
      <c r="F279" s="69"/>
    </row>
    <row r="280" spans="6:6" x14ac:dyDescent="0.35">
      <c r="F280" s="69"/>
    </row>
    <row r="281" spans="6:6" x14ac:dyDescent="0.35">
      <c r="F281" s="69"/>
    </row>
    <row r="282" spans="6:6" x14ac:dyDescent="0.35">
      <c r="F282" s="69"/>
    </row>
    <row r="283" spans="6:6" x14ac:dyDescent="0.35">
      <c r="F283" s="69"/>
    </row>
    <row r="284" spans="6:6" x14ac:dyDescent="0.35">
      <c r="F284" s="69"/>
    </row>
    <row r="285" spans="6:6" x14ac:dyDescent="0.35">
      <c r="F285" s="69"/>
    </row>
    <row r="286" spans="6:6" x14ac:dyDescent="0.35">
      <c r="F286" s="69"/>
    </row>
    <row r="287" spans="6:6" x14ac:dyDescent="0.35">
      <c r="F287" s="69"/>
    </row>
    <row r="288" spans="6:6" x14ac:dyDescent="0.35">
      <c r="F288" s="69"/>
    </row>
    <row r="289" spans="6:6" x14ac:dyDescent="0.35">
      <c r="F289" s="69"/>
    </row>
    <row r="290" spans="6:6" x14ac:dyDescent="0.35">
      <c r="F290" s="69"/>
    </row>
    <row r="291" spans="6:6" x14ac:dyDescent="0.35">
      <c r="F291" s="69"/>
    </row>
    <row r="292" spans="6:6" x14ac:dyDescent="0.35">
      <c r="F292" s="69"/>
    </row>
    <row r="293" spans="6:6" x14ac:dyDescent="0.35">
      <c r="F293" s="69"/>
    </row>
    <row r="294" spans="6:6" x14ac:dyDescent="0.35">
      <c r="F294" s="69"/>
    </row>
    <row r="295" spans="6:6" x14ac:dyDescent="0.35">
      <c r="F295" s="69"/>
    </row>
    <row r="296" spans="6:6" x14ac:dyDescent="0.35">
      <c r="F296" s="69"/>
    </row>
    <row r="297" spans="6:6" x14ac:dyDescent="0.35">
      <c r="F297" s="69"/>
    </row>
    <row r="298" spans="6:6" x14ac:dyDescent="0.35">
      <c r="F298" s="69"/>
    </row>
    <row r="299" spans="6:6" x14ac:dyDescent="0.35">
      <c r="F299" s="69"/>
    </row>
    <row r="300" spans="6:6" x14ac:dyDescent="0.35">
      <c r="F300" s="69"/>
    </row>
    <row r="301" spans="6:6" x14ac:dyDescent="0.35">
      <c r="F301" s="69"/>
    </row>
    <row r="302" spans="6:6" x14ac:dyDescent="0.35">
      <c r="F302" s="69"/>
    </row>
    <row r="303" spans="6:6" x14ac:dyDescent="0.35">
      <c r="F303" s="69"/>
    </row>
    <row r="304" spans="6:6" x14ac:dyDescent="0.35">
      <c r="F304" s="69"/>
    </row>
    <row r="305" spans="6:6" x14ac:dyDescent="0.35">
      <c r="F305" s="69"/>
    </row>
    <row r="306" spans="6:6" x14ac:dyDescent="0.35">
      <c r="F306" s="69"/>
    </row>
    <row r="307" spans="6:6" x14ac:dyDescent="0.35">
      <c r="F307" s="69"/>
    </row>
    <row r="308" spans="6:6" x14ac:dyDescent="0.35">
      <c r="F308" s="69"/>
    </row>
    <row r="309" spans="6:6" x14ac:dyDescent="0.35">
      <c r="F309" s="69"/>
    </row>
    <row r="310" spans="6:6" x14ac:dyDescent="0.35">
      <c r="F310" s="69"/>
    </row>
    <row r="311" spans="6:6" x14ac:dyDescent="0.35">
      <c r="F311" s="69"/>
    </row>
    <row r="312" spans="6:6" x14ac:dyDescent="0.35">
      <c r="F312" s="69"/>
    </row>
    <row r="313" spans="6:6" x14ac:dyDescent="0.35">
      <c r="F313" s="69"/>
    </row>
    <row r="314" spans="6:6" x14ac:dyDescent="0.35">
      <c r="F314" s="69"/>
    </row>
    <row r="315" spans="6:6" x14ac:dyDescent="0.35">
      <c r="F315" s="69"/>
    </row>
    <row r="316" spans="6:6" x14ac:dyDescent="0.35">
      <c r="F316" s="69"/>
    </row>
    <row r="317" spans="6:6" x14ac:dyDescent="0.35">
      <c r="F317" s="69"/>
    </row>
    <row r="318" spans="6:6" x14ac:dyDescent="0.35">
      <c r="F318" s="69"/>
    </row>
    <row r="319" spans="6:6" x14ac:dyDescent="0.35">
      <c r="F319" s="69"/>
    </row>
    <row r="320" spans="6:6" x14ac:dyDescent="0.35">
      <c r="F320" s="69"/>
    </row>
    <row r="321" spans="6:6" x14ac:dyDescent="0.35">
      <c r="F321" s="69"/>
    </row>
    <row r="322" spans="6:6" x14ac:dyDescent="0.35">
      <c r="F322" s="69"/>
    </row>
    <row r="323" spans="6:6" x14ac:dyDescent="0.35">
      <c r="F323" s="69"/>
    </row>
    <row r="324" spans="6:6" x14ac:dyDescent="0.35">
      <c r="F324" s="69"/>
    </row>
    <row r="325" spans="6:6" x14ac:dyDescent="0.35">
      <c r="F325" s="69"/>
    </row>
    <row r="326" spans="6:6" x14ac:dyDescent="0.35">
      <c r="F326" s="69"/>
    </row>
    <row r="327" spans="6:6" x14ac:dyDescent="0.35">
      <c r="F327" s="69"/>
    </row>
    <row r="328" spans="6:6" x14ac:dyDescent="0.35">
      <c r="F328" s="69"/>
    </row>
    <row r="329" spans="6:6" x14ac:dyDescent="0.35">
      <c r="F329" s="69"/>
    </row>
    <row r="330" spans="6:6" x14ac:dyDescent="0.35">
      <c r="F330" s="69"/>
    </row>
    <row r="331" spans="6:6" x14ac:dyDescent="0.35">
      <c r="F331" s="69"/>
    </row>
    <row r="332" spans="6:6" x14ac:dyDescent="0.35">
      <c r="F332" s="69"/>
    </row>
    <row r="333" spans="6:6" x14ac:dyDescent="0.35">
      <c r="F333" s="69"/>
    </row>
    <row r="334" spans="6:6" x14ac:dyDescent="0.35">
      <c r="F334" s="69"/>
    </row>
    <row r="335" spans="6:6" x14ac:dyDescent="0.35">
      <c r="F335" s="69"/>
    </row>
    <row r="336" spans="6:6" x14ac:dyDescent="0.35">
      <c r="F336" s="69"/>
    </row>
    <row r="337" spans="6:6" x14ac:dyDescent="0.35">
      <c r="F337" s="69"/>
    </row>
    <row r="338" spans="6:6" x14ac:dyDescent="0.35">
      <c r="F338" s="69"/>
    </row>
    <row r="339" spans="6:6" x14ac:dyDescent="0.35">
      <c r="F339" s="69"/>
    </row>
    <row r="340" spans="6:6" x14ac:dyDescent="0.35">
      <c r="F340" s="69"/>
    </row>
    <row r="341" spans="6:6" x14ac:dyDescent="0.35">
      <c r="F341" s="69"/>
    </row>
    <row r="342" spans="6:6" x14ac:dyDescent="0.35">
      <c r="F342" s="69"/>
    </row>
    <row r="343" spans="6:6" x14ac:dyDescent="0.35">
      <c r="F343" s="69"/>
    </row>
    <row r="344" spans="6:6" x14ac:dyDescent="0.35">
      <c r="F344" s="69"/>
    </row>
    <row r="345" spans="6:6" x14ac:dyDescent="0.35">
      <c r="F345" s="69"/>
    </row>
    <row r="346" spans="6:6" x14ac:dyDescent="0.35">
      <c r="F346" s="69"/>
    </row>
    <row r="347" spans="6:6" x14ac:dyDescent="0.35">
      <c r="F347" s="69"/>
    </row>
    <row r="348" spans="6:6" x14ac:dyDescent="0.35">
      <c r="F348" s="69"/>
    </row>
    <row r="349" spans="6:6" x14ac:dyDescent="0.35">
      <c r="F349" s="69"/>
    </row>
    <row r="350" spans="6:6" x14ac:dyDescent="0.35">
      <c r="F350" s="69"/>
    </row>
    <row r="351" spans="6:6" x14ac:dyDescent="0.35">
      <c r="F351" s="69"/>
    </row>
    <row r="352" spans="6:6" x14ac:dyDescent="0.35">
      <c r="F352" s="69"/>
    </row>
    <row r="353" spans="6:6" x14ac:dyDescent="0.35">
      <c r="F353" s="69"/>
    </row>
    <row r="354" spans="6:6" x14ac:dyDescent="0.35">
      <c r="F354" s="69"/>
    </row>
    <row r="355" spans="6:6" x14ac:dyDescent="0.35">
      <c r="F355" s="69"/>
    </row>
    <row r="356" spans="6:6" x14ac:dyDescent="0.35">
      <c r="F356" s="69"/>
    </row>
    <row r="357" spans="6:6" x14ac:dyDescent="0.35">
      <c r="F357" s="69"/>
    </row>
    <row r="358" spans="6:6" x14ac:dyDescent="0.35">
      <c r="F358" s="69"/>
    </row>
    <row r="359" spans="6:6" x14ac:dyDescent="0.35">
      <c r="F359" s="69"/>
    </row>
    <row r="360" spans="6:6" x14ac:dyDescent="0.35">
      <c r="F360" s="69"/>
    </row>
    <row r="361" spans="6:6" x14ac:dyDescent="0.35">
      <c r="F361" s="69"/>
    </row>
    <row r="362" spans="6:6" x14ac:dyDescent="0.35">
      <c r="F362" s="69"/>
    </row>
    <row r="363" spans="6:6" x14ac:dyDescent="0.35">
      <c r="F363" s="69"/>
    </row>
    <row r="364" spans="6:6" x14ac:dyDescent="0.35">
      <c r="F364" s="69"/>
    </row>
    <row r="365" spans="6:6" x14ac:dyDescent="0.35">
      <c r="F365" s="69"/>
    </row>
    <row r="366" spans="6:6" x14ac:dyDescent="0.35">
      <c r="F366" s="69"/>
    </row>
    <row r="367" spans="6:6" x14ac:dyDescent="0.35">
      <c r="F367" s="69"/>
    </row>
    <row r="368" spans="6:6" x14ac:dyDescent="0.35">
      <c r="F368" s="69"/>
    </row>
    <row r="369" spans="6:6" x14ac:dyDescent="0.35">
      <c r="F369" s="69"/>
    </row>
    <row r="370" spans="6:6" x14ac:dyDescent="0.35">
      <c r="F370" s="69"/>
    </row>
    <row r="371" spans="6:6" x14ac:dyDescent="0.35">
      <c r="F371" s="69"/>
    </row>
    <row r="372" spans="6:6" x14ac:dyDescent="0.35">
      <c r="F372" s="69"/>
    </row>
    <row r="373" spans="6:6" x14ac:dyDescent="0.35">
      <c r="F373" s="69"/>
    </row>
    <row r="374" spans="6:6" x14ac:dyDescent="0.35">
      <c r="F374" s="69"/>
    </row>
    <row r="375" spans="6:6" x14ac:dyDescent="0.35">
      <c r="F375" s="69"/>
    </row>
    <row r="376" spans="6:6" x14ac:dyDescent="0.35">
      <c r="F376" s="69"/>
    </row>
    <row r="377" spans="6:6" x14ac:dyDescent="0.35">
      <c r="F377" s="69"/>
    </row>
    <row r="378" spans="6:6" x14ac:dyDescent="0.35">
      <c r="F378" s="69"/>
    </row>
    <row r="379" spans="6:6" x14ac:dyDescent="0.35">
      <c r="F379" s="69"/>
    </row>
    <row r="380" spans="6:6" x14ac:dyDescent="0.35">
      <c r="F380" s="69"/>
    </row>
    <row r="381" spans="6:6" x14ac:dyDescent="0.35">
      <c r="F381" s="69"/>
    </row>
    <row r="382" spans="6:6" x14ac:dyDescent="0.35">
      <c r="F382" s="69"/>
    </row>
    <row r="383" spans="6:6" x14ac:dyDescent="0.35">
      <c r="F383" s="69"/>
    </row>
    <row r="384" spans="6:6" x14ac:dyDescent="0.35">
      <c r="F384" s="69"/>
    </row>
    <row r="385" spans="6:6" x14ac:dyDescent="0.35">
      <c r="F385" s="69"/>
    </row>
    <row r="386" spans="6:6" x14ac:dyDescent="0.35">
      <c r="F386" s="69"/>
    </row>
    <row r="387" spans="6:6" x14ac:dyDescent="0.35">
      <c r="F387" s="69"/>
    </row>
    <row r="388" spans="6:6" x14ac:dyDescent="0.35">
      <c r="F388" s="69"/>
    </row>
    <row r="389" spans="6:6" x14ac:dyDescent="0.35">
      <c r="F389" s="69"/>
    </row>
    <row r="390" spans="6:6" x14ac:dyDescent="0.35">
      <c r="F390" s="69"/>
    </row>
    <row r="391" spans="6:6" x14ac:dyDescent="0.35">
      <c r="F391" s="69"/>
    </row>
    <row r="392" spans="6:6" x14ac:dyDescent="0.35">
      <c r="F392" s="69"/>
    </row>
    <row r="393" spans="6:6" x14ac:dyDescent="0.35">
      <c r="F393" s="69"/>
    </row>
    <row r="394" spans="6:6" x14ac:dyDescent="0.35">
      <c r="F394" s="69"/>
    </row>
    <row r="395" spans="6:6" x14ac:dyDescent="0.35">
      <c r="F395" s="69"/>
    </row>
    <row r="396" spans="6:6" x14ac:dyDescent="0.35">
      <c r="F396" s="69"/>
    </row>
    <row r="397" spans="6:6" x14ac:dyDescent="0.35">
      <c r="F397" s="69"/>
    </row>
    <row r="398" spans="6:6" x14ac:dyDescent="0.35">
      <c r="F398" s="69"/>
    </row>
    <row r="399" spans="6:6" x14ac:dyDescent="0.35">
      <c r="F399" s="69"/>
    </row>
    <row r="400" spans="6:6" x14ac:dyDescent="0.35">
      <c r="F400" s="69"/>
    </row>
    <row r="401" spans="6:6" x14ac:dyDescent="0.35">
      <c r="F401" s="69"/>
    </row>
    <row r="402" spans="6:6" x14ac:dyDescent="0.35">
      <c r="F402" s="69"/>
    </row>
    <row r="403" spans="6:6" x14ac:dyDescent="0.35">
      <c r="F403" s="69"/>
    </row>
    <row r="404" spans="6:6" x14ac:dyDescent="0.35">
      <c r="F404" s="69"/>
    </row>
    <row r="405" spans="6:6" x14ac:dyDescent="0.35">
      <c r="F405" s="69"/>
    </row>
    <row r="406" spans="6:6" x14ac:dyDescent="0.35">
      <c r="F406" s="69"/>
    </row>
    <row r="407" spans="6:6" x14ac:dyDescent="0.35">
      <c r="F407" s="69"/>
    </row>
    <row r="408" spans="6:6" x14ac:dyDescent="0.35">
      <c r="F408" s="69"/>
    </row>
    <row r="409" spans="6:6" x14ac:dyDescent="0.35">
      <c r="F409" s="69"/>
    </row>
    <row r="410" spans="6:6" x14ac:dyDescent="0.35">
      <c r="F410" s="69"/>
    </row>
    <row r="411" spans="6:6" x14ac:dyDescent="0.35">
      <c r="F411" s="69"/>
    </row>
    <row r="412" spans="6:6" x14ac:dyDescent="0.35">
      <c r="F412" s="69"/>
    </row>
    <row r="413" spans="6:6" x14ac:dyDescent="0.35">
      <c r="F413" s="69"/>
    </row>
    <row r="414" spans="6:6" x14ac:dyDescent="0.35">
      <c r="F414" s="69"/>
    </row>
    <row r="415" spans="6:6" x14ac:dyDescent="0.35">
      <c r="F415" s="69"/>
    </row>
    <row r="416" spans="6:6" x14ac:dyDescent="0.35">
      <c r="F416" s="69"/>
    </row>
    <row r="417" spans="6:6" x14ac:dyDescent="0.35">
      <c r="F417" s="69"/>
    </row>
    <row r="418" spans="6:6" x14ac:dyDescent="0.35">
      <c r="F418" s="69"/>
    </row>
    <row r="419" spans="6:6" x14ac:dyDescent="0.35">
      <c r="F419" s="69"/>
    </row>
    <row r="420" spans="6:6" x14ac:dyDescent="0.35">
      <c r="F420" s="6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CHECK</vt:lpstr>
      <vt:lpstr>analytics</vt:lpstr>
      <vt:lpstr>info</vt:lpstr>
      <vt:lpstr>usage</vt:lpstr>
      <vt:lpstr>tariffs</vt:lpstr>
      <vt:lpstr>data</vt:lpstr>
      <vt:lpstr>helper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alinaaleks</dc:creator>
  <cp:keywords/>
  <dc:description/>
  <cp:lastModifiedBy>Alina Aleks</cp:lastModifiedBy>
  <cp:revision/>
  <dcterms:created xsi:type="dcterms:W3CDTF">2025-05-23T14:06:11Z</dcterms:created>
  <dcterms:modified xsi:type="dcterms:W3CDTF">2026-05-06T11:25:30Z</dcterms:modified>
  <cp:category/>
  <cp:contentStatus/>
</cp:coreProperties>
</file>